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B75365B0-AB55-48A0-9094-D23DFB0DB6D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ashboard" sheetId="1" r:id="rId1"/>
    <sheet name="Project Tracker" sheetId="2" r:id="rId2"/>
    <sheet name="Learning Curriculum" sheetId="3" r:id="rId3"/>
    <sheet name="Daily Log" sheetId="4" r:id="rId4"/>
    <sheet name="Decisions &amp; Risks" sheetId="5" r:id="rId5"/>
    <sheet name="How to Use" sheetId="6" r:id="rId6"/>
  </sheets>
  <definedNames>
    <definedName name="_xlnm._FilterDatabase" localSheetId="3" hidden="1">'Daily Log'!$A$1:$J$61</definedName>
    <definedName name="_xlnm._FilterDatabase" localSheetId="4" hidden="1">'Decisions &amp; Risks'!$A$1:$F$10</definedName>
    <definedName name="_xlnm._FilterDatabase" localSheetId="5" hidden="1">'How to Use'!$A$1:$B$13</definedName>
    <definedName name="_xlnm._FilterDatabase" localSheetId="2" hidden="1">'Learning Curriculum'!$A$1:$I$25</definedName>
    <definedName name="_xlnm._FilterDatabase" localSheetId="1" hidden="1">'Project Tracker'!$A$1:$J$67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6" i="1" l="1"/>
  <c r="B26" i="1"/>
  <c r="C25" i="1"/>
  <c r="B25" i="1"/>
  <c r="C24" i="1"/>
  <c r="D24" i="1" s="1"/>
  <c r="B24" i="1"/>
  <c r="C23" i="1"/>
  <c r="D23" i="1" s="1"/>
  <c r="B23" i="1"/>
  <c r="C22" i="1"/>
  <c r="B22" i="1"/>
  <c r="C21" i="1"/>
  <c r="B21" i="1"/>
  <c r="C20" i="1"/>
  <c r="B20" i="1"/>
  <c r="C19" i="1"/>
  <c r="B19" i="1"/>
  <c r="C18" i="1"/>
  <c r="B18" i="1"/>
  <c r="C17" i="1"/>
  <c r="B17" i="1"/>
  <c r="C16" i="1"/>
  <c r="D16" i="1" s="1"/>
  <c r="B16" i="1"/>
  <c r="C15" i="1"/>
  <c r="B15" i="1"/>
  <c r="B10" i="1"/>
  <c r="B9" i="1"/>
  <c r="B7" i="1"/>
  <c r="B6" i="1"/>
  <c r="B5" i="1"/>
  <c r="B4" i="1"/>
  <c r="D17" i="1" l="1"/>
  <c r="D15" i="1"/>
  <c r="D25" i="1"/>
  <c r="D21" i="1"/>
  <c r="D20" i="1"/>
  <c r="D19" i="1"/>
  <c r="D18" i="1"/>
  <c r="D26" i="1"/>
  <c r="D22" i="1"/>
  <c r="B8" i="1"/>
</calcChain>
</file>

<file path=xl/sharedStrings.xml><?xml version="1.0" encoding="utf-8"?>
<sst xmlns="http://schemas.openxmlformats.org/spreadsheetml/2006/main" count="903" uniqueCount="548">
  <si>
    <t>WattWise — Learning &amp; Project Dashboard</t>
  </si>
  <si>
    <t>Update task statuses in Project Tracker and learning statuses in Learning Curriculum. This sheet summarizes progress.</t>
  </si>
  <si>
    <t>Metric</t>
  </si>
  <si>
    <t>Value</t>
  </si>
  <si>
    <t>How to interpret</t>
  </si>
  <si>
    <t>Total project tasks</t>
  </si>
  <si>
    <t>All planned project deliverables</t>
  </si>
  <si>
    <t>Tasks done</t>
  </si>
  <si>
    <t>Only mark done when acceptance criteria pass</t>
  </si>
  <si>
    <t>Tasks in progress</t>
  </si>
  <si>
    <t>Work currently underway</t>
  </si>
  <si>
    <t>Tasks blocked</t>
  </si>
  <si>
    <t>Needs a decision or dependency resolved</t>
  </si>
  <si>
    <t>Project completion</t>
  </si>
  <si>
    <t>Completed tasks / total tasks</t>
  </si>
  <si>
    <t>Learning topics</t>
  </si>
  <si>
    <t>Topics listed in learning curriculum</t>
  </si>
  <si>
    <t>Learning topics comfortable</t>
  </si>
  <si>
    <t>Topics you can explain and apply</t>
  </si>
  <si>
    <t>Progress by phase</t>
  </si>
  <si>
    <t>Phase</t>
  </si>
  <si>
    <t>Total tasks</t>
  </si>
  <si>
    <t>Done</t>
  </si>
  <si>
    <t>Progress</t>
  </si>
  <si>
    <t>0. Product &amp; setup</t>
  </si>
  <si>
    <t>1. Data model</t>
  </si>
  <si>
    <t>2. Bill &amp; reading flows</t>
  </si>
  <si>
    <t>3. Calculation &amp; reconciliation</t>
  </si>
  <si>
    <t>4. Dashboard &amp; analytics</t>
  </si>
  <si>
    <t>5. Python foundations</t>
  </si>
  <si>
    <t>6. Python service</t>
  </si>
  <si>
    <t>7. Anomaly detection</t>
  </si>
  <si>
    <t>8. Forecasting</t>
  </si>
  <si>
    <t>9. Evidence-grounded LLM</t>
  </si>
  <si>
    <t>10. Feedback &amp; quality</t>
  </si>
  <si>
    <t>11. Deploy &amp; present</t>
  </si>
  <si>
    <t>Task ID</t>
  </si>
  <si>
    <t>Task / Deliverable</t>
  </si>
  <si>
    <t>What to learn / do</t>
  </si>
  <si>
    <t>Type</t>
  </si>
  <si>
    <t>Priority</t>
  </si>
  <si>
    <t>Depends on</t>
  </si>
  <si>
    <t>Status</t>
  </si>
  <si>
    <t>Acceptance criteria / Definition of Done</t>
  </si>
  <si>
    <t>Completed date</t>
  </si>
  <si>
    <t>WW-001</t>
  </si>
  <si>
    <t>Write project brief</t>
  </si>
  <si>
    <t>Define users, problem, two input modes, key outcomes, and non-goals.</t>
  </si>
  <si>
    <t>Planning</t>
  </si>
  <si>
    <t>High</t>
  </si>
  <si>
    <t>Not Started</t>
  </si>
  <si>
    <t>A short README/docs brief explains what WattWise does and explicitly excludes smart-meter hardware for MVP.</t>
  </si>
  <si>
    <t>WW-002</t>
  </si>
  <si>
    <t>Define user stories and demo journey</t>
  </si>
  <si>
    <t>Think through adding a bill, adding readings, reconciling, viewing analytics, and reading an insight.</t>
  </si>
  <si>
    <t>At least 5 user stories and one end-to-end demo journey are written.</t>
  </si>
  <si>
    <t>WW-003</t>
  </si>
  <si>
    <t>Set up Git repository</t>
  </si>
  <si>
    <t>Learn/refresh Git init, commits, branches, .gitignore, and readable commit messages.</t>
  </si>
  <si>
    <t>Setup</t>
  </si>
  <si>
    <t>Repository has meaningful first commits and no secrets or node_modules committed.</t>
  </si>
  <si>
    <t>WW-004</t>
  </si>
  <si>
    <t>Create project README and folders</t>
  </si>
  <si>
    <t>Create frontend, backend, analytics, database, docs folders and setup placeholders.</t>
  </si>
  <si>
    <t>Folder structure and README are clear enough for a new developer to follow.</t>
  </si>
  <si>
    <t>WW-005</t>
  </si>
  <si>
    <t>Set up React + Vite app</t>
  </si>
  <si>
    <t>Use familiar React skills; build app shell and routing.</t>
  </si>
  <si>
    <t>Frontend</t>
  </si>
  <si>
    <t>Frontend runs locally and has a basic layout.</t>
  </si>
  <si>
    <t>WW-006</t>
  </si>
  <si>
    <t>Set up Express server</t>
  </si>
  <si>
    <t>Create server, route structure, middleware, JSON parsing, and GET /api/health.</t>
  </si>
  <si>
    <t>Backend</t>
  </si>
  <si>
    <t>Health route returns predictable JSON; errors are handled cleanly.</t>
  </si>
  <si>
    <t>WW-007</t>
  </si>
  <si>
    <t>Environment variables and config</t>
  </si>
  <si>
    <t>Learn .env usage, config separation, and secret handling.</t>
  </si>
  <si>
    <t>Setup/Security</t>
  </si>
  <si>
    <t>.env is ignored by Git; .env.example lists variable names without secrets.</t>
  </si>
  <si>
    <t>WW-008</t>
  </si>
  <si>
    <t>Draw database ERD</t>
  </si>
  <si>
    <t>Understand entities, relationships, primary keys, foreign keys, and one-to-many relationships.</t>
  </si>
  <si>
    <t>Database</t>
  </si>
  <si>
    <t>Diagram includes property/household, meter, bill, meter reading, and analysis/insight entities.</t>
  </si>
  <si>
    <t>WW-009</t>
  </si>
  <si>
    <t>Set up PostgreSQL and connection</t>
  </si>
  <si>
    <t>Refresh SQL, connection config, connection pooling, and error handling using pg.</t>
  </si>
  <si>
    <t>Backend connects to local PostgreSQL without hard-coded credentials.</t>
  </si>
  <si>
    <t>WW-010</t>
  </si>
  <si>
    <t>Create migrations/schema</t>
  </si>
  <si>
    <t>Learn constraints, indexes, timestamps, numeric types, and migration discipline.</t>
  </si>
  <si>
    <t>WW-008, WW-009</t>
  </si>
  <si>
    <t>A clean database can be built from the schema/migrations.</t>
  </si>
  <si>
    <t>WW-011</t>
  </si>
  <si>
    <t>Create properties and meters tables</t>
  </si>
  <si>
    <t>Keep each reading tied to the correct household and physical meter.</t>
  </si>
  <si>
    <t>Foreign keys prevent orphan meters and properties.</t>
  </si>
  <si>
    <t>WW-012</t>
  </si>
  <si>
    <t>Create bills table</t>
  </si>
  <si>
    <t>Store period dates, billed units, amount, optional opening/closing readings, actual/estimated status, and source.</t>
  </si>
  <si>
    <t>Bill evidence remains separate from manual meter observations.</t>
  </si>
  <si>
    <t>WW-013</t>
  </si>
  <si>
    <t>Create meter_readings table</t>
  </si>
  <si>
    <t>Store meter ID, timestamp, cumulative value, unit, source, note, and quality status.</t>
  </si>
  <si>
    <t>Manual readings preserve timestamp and meter identity.</t>
  </si>
  <si>
    <t>WW-014</t>
  </si>
  <si>
    <t>Seed realistic synthetic data</t>
  </si>
  <si>
    <t>Learn seed scripts and design cases for success and failure.</t>
  </si>
  <si>
    <t>Data quality</t>
  </si>
  <si>
    <t>WW-012, WW-013</t>
  </si>
  <si>
    <t>Includes matching readings, mismatch, incomplete coverage, duplicate timestamp, estimated bill, and reset.</t>
  </si>
  <si>
    <t>WW-015</t>
  </si>
  <si>
    <t>Design monthly bill form</t>
  </si>
  <si>
    <t>Plan fields, required/optional values, error messages, and date handling.</t>
  </si>
  <si>
    <t>UX/Frontend</t>
  </si>
  <si>
    <t>Form clearly distinguishes billed units from opening/closing meter values.</t>
  </si>
  <si>
    <t>WW-016</t>
  </si>
  <si>
    <t>Implement POST/GET bills API</t>
  </si>
  <si>
    <t>Learn request validation, status codes, SQL parameters, and error responses.</t>
  </si>
  <si>
    <t>Valid bills persist; malformed/invalid periods return useful 4xx responses.</t>
  </si>
  <si>
    <t>WW-017</t>
  </si>
  <si>
    <t>Connect monthly bill UI to API</t>
  </si>
  <si>
    <t>Handle loading, success, field errors, server errors, and refresh/list view.</t>
  </si>
  <si>
    <t>Full-stack</t>
  </si>
  <si>
    <t>WW-015, WW-016</t>
  </si>
  <si>
    <t>A bill can be created and then seen in the bill history.</t>
  </si>
  <si>
    <t>WW-018</t>
  </si>
  <si>
    <t>Design manual reading form</t>
  </si>
  <si>
    <t>Allow meter, reading timestamp, cumulative kWh, and optional note.</t>
  </si>
  <si>
    <t>User understands that the input is a cumulative meter value, not usage for that day.</t>
  </si>
  <si>
    <t>WW-019</t>
  </si>
  <si>
    <t>Implement POST/GET readings API</t>
  </si>
  <si>
    <t>Validate meter ID, timestamp, nonnegative numeric value, and unit.</t>
  </si>
  <si>
    <t>Valid readings persist and can be filtered by meter/date range.</t>
  </si>
  <si>
    <t>WW-020</t>
  </si>
  <si>
    <t>Connect manual reading UI to API</t>
  </si>
  <si>
    <t>Implement loading, success/error states, history list, and correction workflow.</t>
  </si>
  <si>
    <t>WW-018, WW-019</t>
  </si>
  <si>
    <t>A user can enter and view manual readings.</t>
  </si>
  <si>
    <t>WW-021</t>
  </si>
  <si>
    <t>Handle duplicate and correction cases</t>
  </si>
  <si>
    <t>Learn unique constraints, conflict handling, and safe edits/voids.</t>
  </si>
  <si>
    <t>Database/Backend</t>
  </si>
  <si>
    <t>Medium</t>
  </si>
  <si>
    <t>WW-017, WW-020</t>
  </si>
  <si>
    <t>Duplicate readings are rejected or flagged; corrections are explicit.</t>
  </si>
  <si>
    <t>WW-022</t>
  </si>
  <si>
    <t>Write usage calculation function</t>
  </si>
  <si>
    <t>Cumulative interval usage = later reading − earlier reading; validate chronology and meter identity.</t>
  </si>
  <si>
    <t>Backend/Logic</t>
  </si>
  <si>
    <t>Known sample readings return correct usage; negative delta is flagged.</t>
  </si>
  <si>
    <t>WW-023</t>
  </si>
  <si>
    <t>Handle reset/replacement/meter change</t>
  </si>
  <si>
    <t>Model quality flags and meter lifecycle; never treat reset as negative usage.</t>
  </si>
  <si>
    <t>Reset/replacement cases are marked for review, not silently calculated.</t>
  </si>
  <si>
    <t>WW-024</t>
  </si>
  <si>
    <t>Align reading intervals to bill dates</t>
  </si>
  <si>
    <t>Learn date boundaries, interval coverage, missing gaps, and overlapping periods.</t>
  </si>
  <si>
    <t>WW-012, WW-022</t>
  </si>
  <si>
    <t>Only same-period, valid coverage is used for reconciliation.</t>
  </si>
  <si>
    <t>WW-025</t>
  </si>
  <si>
    <t>Build reconciliation service/API</t>
  </si>
  <si>
    <t>Compare billed units against valid manual interval total; return delta, percent difference, and coverage state.</t>
  </si>
  <si>
    <t>Bill and manual totals remain separate; discrepancy triggers review.</t>
  </si>
  <si>
    <t>WW-026</t>
  </si>
  <si>
    <t>Build reconciliation UI</t>
  </si>
  <si>
    <t>Show match/mismatch/incomplete coverage and explain why a comparison may be unreliable.</t>
  </si>
  <si>
    <t>User can understand values, date coverage, and any discrepancy.</t>
  </si>
  <si>
    <t>WW-027</t>
  </si>
  <si>
    <t>Write calculation unit tests</t>
  </si>
  <si>
    <t>Learn test cases and boundary testing; test matching, mismatch, gaps, duplicates, reset, and period edges.</t>
  </si>
  <si>
    <t>Testing</t>
  </si>
  <si>
    <t>WW-022, WW-025</t>
  </si>
  <si>
    <t>All core calculation tests pass reproducibly.</t>
  </si>
  <si>
    <t>WW-028</t>
  </si>
  <si>
    <t>Define summary metrics</t>
  </si>
  <si>
    <t>Specify units, cost, daily average when valid, period comparison, and data completeness.</t>
  </si>
  <si>
    <t>Analytics/Product</t>
  </si>
  <si>
    <t>Every metric has a formula and clear time window.</t>
  </si>
  <si>
    <t>WW-029</t>
  </si>
  <si>
    <t>Build dashboard summary cards</t>
  </si>
  <si>
    <t>Use React components and responsive layout; handle empty/loading/error states.</t>
  </si>
  <si>
    <t>Cards display verified metrics with date labels.</t>
  </si>
  <si>
    <t>WW-030</t>
  </si>
  <si>
    <t>Build trend charts</t>
  </si>
  <si>
    <t>Learn Recharts time series, axes, tooltips, and missing-period representation.</t>
  </si>
  <si>
    <t>Charts show consumption/bill trends and distinguish incomplete data.</t>
  </si>
  <si>
    <t>WW-031</t>
  </si>
  <si>
    <t>Implement analytics summary endpoint</t>
  </si>
  <si>
    <t>Compute values deterministically in backend/SQL; avoid LLM arithmetic.</t>
  </si>
  <si>
    <t>Dashboard values can be traced to queries and formulas.</t>
  </si>
  <si>
    <t>WW-032</t>
  </si>
  <si>
    <t>Install Python and create virtual environment</t>
  </si>
  <si>
    <t>Learn Python version, venv, pip, packages, and project environment.</t>
  </si>
  <si>
    <t>Learning/Python</t>
  </si>
  <si>
    <t>Python script runs in isolated environment and dependencies are documented.</t>
  </si>
  <si>
    <t>WW-033</t>
  </si>
  <si>
    <t>Learn Python syntax and data types</t>
  </si>
  <si>
    <t>Variables, strings, numbers, booleans, lists, tuples, dictionaries, sets, loops, conditionals.</t>
  </si>
  <si>
    <t>Complete small exercises without copying a full solution.</t>
  </si>
  <si>
    <t>WW-034</t>
  </si>
  <si>
    <t>Learn functions, modules, exceptions</t>
  </si>
  <si>
    <t>Parameters/return values, imports, exceptions, file structure, and reusable code.</t>
  </si>
  <si>
    <t>Write reusable usage functions with validation and useful errors.</t>
  </si>
  <si>
    <t>WW-035</t>
  </si>
  <si>
    <t>Learn files and CSV/JSON</t>
  </si>
  <si>
    <t>Read/write CSV and JSON; understand structured data and encoding.</t>
  </si>
  <si>
    <t>Can load sample readings and inspect the resulting values.</t>
  </si>
  <si>
    <t>WW-036</t>
  </si>
  <si>
    <t>Learn pandas basics</t>
  </si>
  <si>
    <t>Series/DataFrame, selecting rows/columns, sorting, filtering, groupby, aggregation.</t>
  </si>
  <si>
    <t>Produce a consumption summary from sample data in a DataFrame.</t>
  </si>
  <si>
    <t>WW-037</t>
  </si>
  <si>
    <t>Learn pandas dates and missing data</t>
  </si>
  <si>
    <t>Parse timestamps, sort time series, resample, missing values, duplicates, merges.</t>
  </si>
  <si>
    <t>Can identify missing intervals and summarize data by period.</t>
  </si>
  <si>
    <t>WW-038</t>
  </si>
  <si>
    <t>Learn NumPy and descriptive statistics</t>
  </si>
  <si>
    <t>Arrays, mean, median, standard deviation, percent change, quantiles.</t>
  </si>
  <si>
    <t>Learning/Statistics</t>
  </si>
  <si>
    <t>Compute and explain simple usage statistics.</t>
  </si>
  <si>
    <t>WW-039</t>
  </si>
  <si>
    <t>Learn pytest basics</t>
  </si>
  <si>
    <t>Test functions, assertions, fixtures, parametrized tests, edge cases.</t>
  </si>
  <si>
    <t>Learning/Testing</t>
  </si>
  <si>
    <t>Python calculation functions have repeatable tests.</t>
  </si>
  <si>
    <t>WW-040</t>
  </si>
  <si>
    <t>Rebuild summary calculations in Python</t>
  </si>
  <si>
    <t>Implement period summaries and compare output with known Node calculations.</t>
  </si>
  <si>
    <t>Analytics</t>
  </si>
  <si>
    <t>WW-037, WW-039</t>
  </si>
  <si>
    <t>Python and Node match on documented test fixtures.</t>
  </si>
  <si>
    <t>WW-041</t>
  </si>
  <si>
    <t>Learn FastAPI and Pydantic</t>
  </si>
  <si>
    <t>Routes, schemas, request validation, response models, and docs UI.</t>
  </si>
  <si>
    <t>Learning/Backend</t>
  </si>
  <si>
    <t>A small FastAPI app validates input and returns typed output.</t>
  </si>
  <si>
    <t>WW-042</t>
  </si>
  <si>
    <t>Create analytics service skeleton</t>
  </si>
  <si>
    <t>Add health endpoint, config, logging, and tests.</t>
  </si>
  <si>
    <t>Backend/AI</t>
  </si>
  <si>
    <t>Service starts locally and has health/test coverage.</t>
  </si>
  <si>
    <t>WW-043</t>
  </si>
  <si>
    <t>Expose summary/data-quality endpoints</t>
  </si>
  <si>
    <t>Return period summary, coverage flags, and validation issues as JSON.</t>
  </si>
  <si>
    <t>Endpoints return structured responses for normal and invalid inputs.</t>
  </si>
  <si>
    <t>WW-044</t>
  </si>
  <si>
    <t>Connect Express to FastAPI</t>
  </si>
  <si>
    <t>Learn HTTP client calls, timeouts, service failures, and internal API contracts.</t>
  </si>
  <si>
    <t>Integration</t>
  </si>
  <si>
    <t>Express handles Python success, timeout, and unavailable-service cases.</t>
  </si>
  <si>
    <t>WW-045</t>
  </si>
  <si>
    <t>Learn anomaly detection concepts</t>
  </si>
  <si>
    <t>Baseline, threshold, outlier, false positive/negative, sensitivity, and seasonality.</t>
  </si>
  <si>
    <t>Learning/ML</t>
  </si>
  <si>
    <t>WW-038, WW-040</t>
  </si>
  <si>
    <t>Can explain why a reading is flagged and what evidence is used.</t>
  </si>
  <si>
    <t>WW-046</t>
  </si>
  <si>
    <t>Build transparent rule-based detector</t>
  </si>
  <si>
    <t>Start with minimum-history checks, rolling median/mean, percentage change, and thresholds.</t>
  </si>
  <si>
    <t>Analytics/ML</t>
  </si>
  <si>
    <t>Each anomaly includes baseline, comparison window, threshold, and quality status.</t>
  </si>
  <si>
    <t>WW-047</t>
  </si>
  <si>
    <t>Create labelled test scenarios</t>
  </si>
  <si>
    <t>Label true spikes, normal seasonal increases, missing data, resets, and data-entry errors.</t>
  </si>
  <si>
    <t>Data/ML</t>
  </si>
  <si>
    <t>WW-014, WW-046</t>
  </si>
  <si>
    <t>Synthetic evaluation dataset covers common failure modes.</t>
  </si>
  <si>
    <t>WW-048</t>
  </si>
  <si>
    <t>Evaluate and tune detector</t>
  </si>
  <si>
    <t>Review false positives/negatives and avoid overclaiming causation.</t>
  </si>
  <si>
    <t>Evaluation notes document what works, what fails, and why.</t>
  </si>
  <si>
    <t>WW-049</t>
  </si>
  <si>
    <t>Explore scikit-learn and Isolation Forest</t>
  </si>
  <si>
    <t>Learn fit/predict, feature scaling where relevant, contamination, and evaluation limitations.</t>
  </si>
  <si>
    <t>Low</t>
  </si>
  <si>
    <t>Only retain ML model if it adds value beyond transparent rules.</t>
  </si>
  <si>
    <t>WW-050</t>
  </si>
  <si>
    <t>Learn forecasting fundamentals</t>
  </si>
  <si>
    <t>Time series, trend/seasonality, time-based split, data leakage, naive baseline.</t>
  </si>
  <si>
    <t>Can explain why random train/test split is unsuitable for time series.</t>
  </si>
  <si>
    <t>WW-051</t>
  </si>
  <si>
    <t>Build naive consumption forecast</t>
  </si>
  <si>
    <t>Use recent average daily usage or a simple baseline; require enough history.</t>
  </si>
  <si>
    <t>Forecast is reproducible and unavailable when history is inadequate.</t>
  </si>
  <si>
    <t>WW-052</t>
  </si>
  <si>
    <t>Learn forecast error metrics</t>
  </si>
  <si>
    <t>MAE, RMSE, MAPE caveats (especially near zero), and held-out evaluation.</t>
  </si>
  <si>
    <t>Model performance is compared against a naive baseline.</t>
  </si>
  <si>
    <t>WW-053</t>
  </si>
  <si>
    <t>Estimate future bill cautiously</t>
  </si>
  <si>
    <t>Separate predicted kWh from bill estimate; account for known tariff inputs only when implemented.</t>
  </si>
  <si>
    <t>UI explains assumptions and uncertainty; does not imply guaranteed bill amount.</t>
  </si>
  <si>
    <t>WW-054</t>
  </si>
  <si>
    <t>Learn LLM API basics and prompting</t>
  </si>
  <si>
    <t>Server-side calls, system instructions, input limits, temperature, and provider abstraction.</t>
  </si>
  <si>
    <t>Learning/AI</t>
  </si>
  <si>
    <t>WW-048, WW-052</t>
  </si>
  <si>
    <t>Can call provider from backend without exposing API key to frontend.</t>
  </si>
  <si>
    <t>WW-055</t>
  </si>
  <si>
    <t>Define verified-facts JSON schema</t>
  </si>
  <si>
    <t>Pass computed metrics, baseline, date range, quality flags, and method metadata.</t>
  </si>
  <si>
    <t>LLM receives only relevant verified facts, not raw personal identifiers.</t>
  </si>
  <si>
    <t>WW-056</t>
  </si>
  <si>
    <t>Implement explanation adapter</t>
  </si>
  <si>
    <t>Generate plain-language explanations and require “insufficient evidence” when appropriate.</t>
  </si>
  <si>
    <t>Explanations refer to supplied evidence and do not invent appliance-level causes.</t>
  </si>
  <si>
    <t>WW-057</t>
  </si>
  <si>
    <t>Validate output and failure handling</t>
  </si>
  <si>
    <t>Validate schema, handle malformed output, timeout, rate limits, cost limits, and retries carefully.</t>
  </si>
  <si>
    <t>Testing/AI</t>
  </si>
  <si>
    <t>Numeric metrics remain backend-owned and provider failure degrades gracefully.</t>
  </si>
  <si>
    <t>WW-058</t>
  </si>
  <si>
    <t>Add insight feedback/action logging</t>
  </si>
  <si>
    <t>Allow useful/not useful feedback and log actions users tried.</t>
  </si>
  <si>
    <t>Feedback is stored with the insight/analysis run.</t>
  </si>
  <si>
    <t>WW-059</t>
  </si>
  <si>
    <t>Add end-to-end regression tests</t>
  </si>
  <si>
    <t>Test bill entry → manual readings → reconciliation → dashboard → insight.</t>
  </si>
  <si>
    <t>WW-027, WW-044, WW-057</t>
  </si>
  <si>
    <t>Core demo journey can be repeated without manual DB fixes.</t>
  </si>
  <si>
    <t>WW-060</t>
  </si>
  <si>
    <t>Polish accessibility and responsive UI</t>
  </si>
  <si>
    <t>Keyboard navigation, labels, focus states, mobile widths, readable chart labels.</t>
  </si>
  <si>
    <t>Main user flows work on desktop and mobile widths.</t>
  </si>
  <si>
    <t>WW-061</t>
  </si>
  <si>
    <t>Add logging and error states</t>
  </si>
  <si>
    <t>Use request IDs, useful server logs, safe user-facing errors, and no secret leakage.</t>
  </si>
  <si>
    <t>Backend/Quality</t>
  </si>
  <si>
    <t>Failures can be debugged without exposing secrets or raw sensitive data.</t>
  </si>
  <si>
    <t>WW-062</t>
  </si>
  <si>
    <t>Choose deployment arrangement</t>
  </si>
  <si>
    <t>Plan hosting for frontend, Express API, Python service, and PostgreSQL.</t>
  </si>
  <si>
    <t>Deployment</t>
  </si>
  <si>
    <t>Architecture and environment variables are documented.</t>
  </si>
  <si>
    <t>WW-063</t>
  </si>
  <si>
    <t>Configure deployment and migrations</t>
  </si>
  <si>
    <t>Deploy services, configure secrets, run migrations, and seed demo data.</t>
  </si>
  <si>
    <t>App can be started from documented deployment instructions.</t>
  </si>
  <si>
    <t>WW-064</t>
  </si>
  <si>
    <t>Create clean demo dataset and demo account</t>
  </si>
  <si>
    <t>Use synthetic data and demonstrate both input modes plus mismatch handling.</t>
  </si>
  <si>
    <t>Demo</t>
  </si>
  <si>
    <t>Demo is repeatable and contains no real household personal data.</t>
  </si>
  <si>
    <t>WW-065</t>
  </si>
  <si>
    <t>Write architecture and limitations documentation</t>
  </si>
  <si>
    <t>Document design decisions, evaluation, known limitations, and how to run tests.</t>
  </si>
  <si>
    <t>Documentation</t>
  </si>
  <si>
    <t>A reviewer can understand and run the project from the README.</t>
  </si>
  <si>
    <t>WW-066</t>
  </si>
  <si>
    <t>Record project walkthrough</t>
  </si>
  <si>
    <t>Show data entry, reconciliation, dashboard, anomaly, forecast, and evidence-backed explanation.</t>
  </si>
  <si>
    <t>Portfolio</t>
  </si>
  <si>
    <t>Short walkthrough demonstrates real functionality rather than slides only.</t>
  </si>
  <si>
    <t>Learning Stage</t>
  </si>
  <si>
    <t>Topic</t>
  </si>
  <si>
    <t>Specific subtopics to learn</t>
  </si>
  <si>
    <t>Why WattWise needs it</t>
  </si>
  <si>
    <t>Practice / mini-task</t>
  </si>
  <si>
    <t>Related project task IDs</t>
  </si>
  <si>
    <t>Confidence (1-5)</t>
  </si>
  <si>
    <t>Resource / notes</t>
  </si>
  <si>
    <t>Python Basics</t>
  </si>
  <si>
    <t>Environment setup</t>
  </si>
  <si>
    <t>Python install/version, venv, pip, requirements.txt, running scripts</t>
  </si>
  <si>
    <t>Keep analytics dependencies isolated from Node dependencies.</t>
  </si>
  <si>
    <t>Create a venv and run a small script.</t>
  </si>
  <si>
    <t>Core syntax</t>
  </si>
  <si>
    <t>Variables, numeric/string/bool types, lists, tuples, dictionaries, sets</t>
  </si>
  <si>
    <t>Represent readings and structured facts.</t>
  </si>
  <si>
    <t>Create a list of readings and compute a simple difference.</t>
  </si>
  <si>
    <t>Control flow</t>
  </si>
  <si>
    <t>if/else, for/while loops, comprehensions, truthiness</t>
  </si>
  <si>
    <t>Validate input and process sequences.</t>
  </si>
  <si>
    <t>Reject an invalid reading and loop through sample readings.</t>
  </si>
  <si>
    <t>Functions</t>
  </si>
  <si>
    <t>Parameters, return values, defaults, scope, docstrings</t>
  </si>
  <si>
    <t>Make calculation logic reusable and testable.</t>
  </si>
  <si>
    <t>Write calculate_interval_usage(previous, current).</t>
  </si>
  <si>
    <t>Errors and modules</t>
  </si>
  <si>
    <t>try/except, custom errors, imports, packages, file structure</t>
  </si>
  <si>
    <t>Handle invalid data and organize code.</t>
  </si>
  <si>
    <t>Handle negative delta and split helpers into modules.</t>
  </si>
  <si>
    <t>Data formats</t>
  </si>
  <si>
    <t>CSV and JSON</t>
  </si>
  <si>
    <t>Read/write CSV, JSON serialization, encoding, schemas</t>
  </si>
  <si>
    <t>Move sample data between app and analytics.</t>
  </si>
  <si>
    <t>Load a synthetic readings CSV and emit JSON summary.</t>
  </si>
  <si>
    <t>Data analysis</t>
  </si>
  <si>
    <t>pandas basics</t>
  </si>
  <si>
    <t>Series, DataFrame, columns, filtering, sorting, groupby, aggregation</t>
  </si>
  <si>
    <t>Summarize usage by day/month and inspect data.</t>
  </si>
  <si>
    <t>Create a monthly consumption table.</t>
  </si>
  <si>
    <t>Dates and time series</t>
  </si>
  <si>
    <t>to_datetime, sorting, time zones, date ranges, resample, interval boundaries</t>
  </si>
  <si>
    <t>Align readings to billing periods and identify gaps.</t>
  </si>
  <si>
    <t>Find readings within a bill's period and flag missing intervals.</t>
  </si>
  <si>
    <t>Missing and duplicate data</t>
  </si>
  <si>
    <t>isna, duplicates, invalid values, merge validation, missing intervals</t>
  </si>
  <si>
    <t>Prevent misleading totals and comparisons.</t>
  </si>
  <si>
    <t>Create a quality report for sample readings.</t>
  </si>
  <si>
    <t>Statistics</t>
  </si>
  <si>
    <t>Descriptive statistics</t>
  </si>
  <si>
    <t>Mean, median, range, standard deviation, quantiles, percentage change</t>
  </si>
  <si>
    <t>Build transparent baselines and comparisons.</t>
  </si>
  <si>
    <t>Compare current use with previous complete periods.</t>
  </si>
  <si>
    <t>pytest basics</t>
  </si>
  <si>
    <t>Assertions, fixtures, parametrization, test discovery, edge cases</t>
  </si>
  <si>
    <t>Ensure calculations are trustworthy.</t>
  </si>
  <si>
    <t>Test matching, discrepancy, reset, and missing-data examples.</t>
  </si>
  <si>
    <t>APIs</t>
  </si>
  <si>
    <t>FastAPI basics</t>
  </si>
  <si>
    <t>Routes, HTTP methods, status codes, Pydantic models, docs</t>
  </si>
  <si>
    <t>Expose Python analysis to the Node backend.</t>
  </si>
  <si>
    <t>Create a POST endpoint with a validated request model.</t>
  </si>
  <si>
    <t>Service integration</t>
  </si>
  <si>
    <t>HTTP requests, timeouts, retries, error contracts, logging</t>
  </si>
  <si>
    <t>Connect Express to the Python service reliably.</t>
  </si>
  <si>
    <t>Make Express call Python and handle a stopped Python service.</t>
  </si>
  <si>
    <t>ML Foundations</t>
  </si>
  <si>
    <t>ML vocabulary</t>
  </si>
  <si>
    <t>Features, labels, training vs inference, baseline, overfitting, leakage</t>
  </si>
  <si>
    <t>Understand what models do and where they can fail.</t>
  </si>
  <si>
    <t>Explain features/labels for an anomaly dataset.</t>
  </si>
  <si>
    <t>Anomaly detection</t>
  </si>
  <si>
    <t>Rule-based methods</t>
  </si>
  <si>
    <t>Rolling mean/median, thresholds, percent change, minimum history</t>
  </si>
  <si>
    <t>Create an interpretable first detector.</t>
  </si>
  <si>
    <t>Flag a synthetic spike and explain its baseline.</t>
  </si>
  <si>
    <t>Evaluation</t>
  </si>
  <si>
    <t>True/false positives, false negatives, precision/recall basics, labelled cases</t>
  </si>
  <si>
    <t>Measure whether alerts are useful.</t>
  </si>
  <si>
    <t>Evaluate detector against labelled synthetic cases.</t>
  </si>
  <si>
    <t>scikit-learn</t>
  </si>
  <si>
    <t>Isolation Forest basics</t>
  </si>
  <si>
    <t>fit, predict, contamination, features, model limitations</t>
  </si>
  <si>
    <t>Explore an ML alternative only if rules are insufficient.</t>
  </si>
  <si>
    <t>Compare it against rule-based alerts on synthetic data.</t>
  </si>
  <si>
    <t>Forecasting</t>
  </si>
  <si>
    <t>Time-series fundamentals</t>
  </si>
  <si>
    <t>Trend, seasonality, naive baseline, time-based split, data leakage</t>
  </si>
  <si>
    <t>Forecast future consumption responsibly.</t>
  </si>
  <si>
    <t>Create a baseline forecast using prior periods.</t>
  </si>
  <si>
    <t>WW-050, WW-051</t>
  </si>
  <si>
    <t>Error metrics</t>
  </si>
  <si>
    <t>MAE, RMSE, MAPE limitations, held-out evaluation</t>
  </si>
  <si>
    <t>Report forecast performance rather than guessing.</t>
  </si>
  <si>
    <t>Score forecasts against held-out periods.</t>
  </si>
  <si>
    <t>LLM integration</t>
  </si>
  <si>
    <t>Prompt design</t>
  </si>
  <si>
    <t>Clear task, evidence-only constraints, uncertainty, avoid causal assumptions</t>
  </si>
  <si>
    <t>Explain metrics without inventing reasons.</t>
  </si>
  <si>
    <t>Write a prompt using a JSON facts object.</t>
  </si>
  <si>
    <t>WW-054, WW-055</t>
  </si>
  <si>
    <t>Structured output and validation</t>
  </si>
  <si>
    <t>JSON schema, parsing, validation, malformed output, refusals</t>
  </si>
  <si>
    <t>Keep generated text safe and consistent with computed facts.</t>
  </si>
  <si>
    <t>Reject an explanation that changes the supplied unit count.</t>
  </si>
  <si>
    <t>LLM operations</t>
  </si>
  <si>
    <t>Secrets, cost and reliability</t>
  </si>
  <si>
    <t>Server-only API keys, timeouts, rate limits, token/cost limits, privacy</t>
  </si>
  <si>
    <t>Avoid leaked keys and uncontrolled costs.</t>
  </si>
  <si>
    <t>Add env config and simulated provider-failure test.</t>
  </si>
  <si>
    <t>WW-054, WW-057</t>
  </si>
  <si>
    <t>Engineering</t>
  </si>
  <si>
    <t>Git and documentation</t>
  </si>
  <si>
    <t>Branches, commits, README, architecture diagram, decision log</t>
  </si>
  <si>
    <t>Make work maintainable and presentable.</t>
  </si>
  <si>
    <t>Write a meaningful commit and document one design decision.</t>
  </si>
  <si>
    <t>WW-003, WW-065</t>
  </si>
  <si>
    <t>Quality</t>
  </si>
  <si>
    <t>End-to-end testing</t>
  </si>
  <si>
    <t>API tests, integration tests, regression, clean setup, demo data</t>
  </si>
  <si>
    <t>Prove the full user journey works.</t>
  </si>
  <si>
    <t>Run bill → readings → reconciliation → dashboard scenario.</t>
  </si>
  <si>
    <t>WW-059, WW-064</t>
  </si>
  <si>
    <t>Date</t>
  </si>
  <si>
    <t>Session goal (one main task)</t>
  </si>
  <si>
    <t>Task ID(s)</t>
  </si>
  <si>
    <t>What I actually did</t>
  </si>
  <si>
    <t>What worked / evidence</t>
  </si>
  <si>
    <t>What I learned</t>
  </si>
  <si>
    <t>Problem / blocker</t>
  </si>
  <si>
    <t>Next action</t>
  </si>
  <si>
    <t>Time spent (optional)</t>
  </si>
  <si>
    <t>Session rating (1-5)</t>
  </si>
  <si>
    <t>Decision / risk</t>
  </si>
  <si>
    <t>Mitigation / next action</t>
  </si>
  <si>
    <t>Notes</t>
  </si>
  <si>
    <t>Decision</t>
  </si>
  <si>
    <t>Input modes</t>
  </si>
  <si>
    <t>Support Monthly Bill Mode and Manual Meter Mode. No smart-meter hardware in initial version.</t>
  </si>
  <si>
    <t>Keep bill and manual reading data separate in database and UI.</t>
  </si>
  <si>
    <t>Agreed</t>
  </si>
  <si>
    <t>Billing reference</t>
  </si>
  <si>
    <t>Bill remains billing reference; manual readings are additional observations.</t>
  </si>
  <si>
    <t>Reconcile only aligned periods and flag mismatch for review.</t>
  </si>
  <si>
    <t>Calculation truth</t>
  </si>
  <si>
    <t>All arithmetic and metrics are computed by code, not by LLM.</t>
  </si>
  <si>
    <t>Add tests and show evidence for each insight.</t>
  </si>
  <si>
    <t>AI sequence</t>
  </si>
  <si>
    <t>Rule-based anomaly detection and naive forecast before advanced ML.</t>
  </si>
  <si>
    <t>Evaluate on labelled synthetic data before adding complexity.</t>
  </si>
  <si>
    <t>Risk</t>
  </si>
  <si>
    <t>Sparse data</t>
  </si>
  <si>
    <t>Monthly data may be too sparse for detailed anomaly detection or forecasting.</t>
  </si>
  <si>
    <t>Require minimum history and show insufficient-data states.</t>
  </si>
  <si>
    <t>Open</t>
  </si>
  <si>
    <t>Period mismatch</t>
  </si>
  <si>
    <t>Manual readings may not cover exact billing period.</t>
  </si>
  <si>
    <t>Track coverage; do not compare totals if incomplete.</t>
  </si>
  <si>
    <t>Meter reset/replacement</t>
  </si>
  <si>
    <t>Cumulative reading may decrease after a reset or meter change.</t>
  </si>
  <si>
    <t>Flag for review and maintain meter identity/lifecycle.</t>
  </si>
  <si>
    <t>LLM hallucination</t>
  </si>
  <si>
    <t>LLM may invent cause or alter numbers.</t>
  </si>
  <si>
    <t>Pass verified facts only; validate output; never infer appliance causes without evidence.</t>
  </si>
  <si>
    <t>Privacy and API cost</t>
  </si>
  <si>
    <t>Bills and usage patterns can be sensitive; LLM calls can incur cost.</t>
  </si>
  <si>
    <t>Use synthetic demo data, keep keys server-side, minimize identifiers, add limits.</t>
  </si>
  <si>
    <t>Step</t>
  </si>
  <si>
    <t>How to use this tracker</t>
  </si>
  <si>
    <t>1. Start at Dashboard</t>
  </si>
  <si>
    <t>Check the overall progress. Formulas update from the other sheets when opened in Excel or LibreOffice.</t>
  </si>
  <si>
    <t>2. Choose the next project task</t>
  </si>
  <si>
    <t>In Project Tracker, follow dependencies. Pick one main task per work session; do not start later phases just because they look exciting.</t>
  </si>
  <si>
    <t>3. Update status honestly</t>
  </si>
  <si>
    <t>Not Started = untouched; In Progress = active; Blocked = cannot proceed; Done = acceptance criteria passed; Skipped = deliberately removed from scope.</t>
  </si>
  <si>
    <t>4. Record notes</t>
  </si>
  <si>
    <t>Use Notes / Blocker for bugs, decisions, and the next small step. Avoid duplicate task rows.</t>
  </si>
  <si>
    <t>5. Learn alongside building</t>
  </si>
  <si>
    <t>Use Learning Curriculum to track each concept; mark Comfortable only when you can explain it and apply it without copying blindly.</t>
  </si>
  <si>
    <t>6. Daily log</t>
  </si>
  <si>
    <t>At the end of each session, add one row in Daily Log: goal, what you did, evidence, learning, blocker, next action.</t>
  </si>
  <si>
    <t>7. Weekly review</t>
  </si>
  <si>
    <t>Once a week, review completed tasks, blockers, upcoming dependencies, and whether target dates still make sense.</t>
  </si>
  <si>
    <t>8. Completion rule</t>
  </si>
  <si>
    <t>A task is done only when its acceptance criteria are met and relevant tests/manual checks pass.</t>
  </si>
  <si>
    <t>9. No fixed timeline</t>
  </si>
  <si>
    <t>There are no forced dates. Fill in Start/Target dates only if they help you plan.</t>
  </si>
  <si>
    <t>10. Suggested first steps</t>
  </si>
  <si>
    <t>Start with WW-001 to WW-007. Then design the schema and seed data before building advanced AI.</t>
  </si>
  <si>
    <t>Status definitions</t>
  </si>
  <si>
    <t>Not Started | In Progress | Blocked | Done | Skipped</t>
  </si>
  <si>
    <t>Core WattWise rule</t>
  </si>
  <si>
    <t>Bill = billing reference; manual readings = additional observations. Compare only aligned periods; show discrepancies rather than silently correcting.</t>
  </si>
  <si>
    <t>In 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</si>
</sst>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8"/>
      <color rgb="FFFFFFFF"/>
      <name val="Calibri"/>
    </font>
    <font>
      <i/>
      <sz val="11"/>
      <color rgb="FF52616B"/>
      <name val="Calibri"/>
    </font>
    <font>
      <b/>
      <sz val="11"/>
      <color rgb="FF15324B"/>
      <name val="Calibri"/>
    </font>
    <font>
      <b/>
      <sz val="13"/>
      <color rgb="FF1C617A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5324B"/>
      </patternFill>
    </fill>
    <fill>
      <patternFill patternType="solid">
        <fgColor rgb="FFF5F8FA"/>
      </patternFill>
    </fill>
    <fill>
      <patternFill patternType="solid">
        <fgColor rgb="FFEAF2F6"/>
      </patternFill>
    </fill>
  </fills>
  <borders count="3">
    <border>
      <left/>
      <right/>
      <top/>
      <bottom/>
      <diagonal/>
    </border>
    <border>
      <left/>
      <right/>
      <top/>
      <bottom style="hair">
        <color rgb="FFD4DEE4"/>
      </bottom>
      <diagonal/>
    </border>
    <border>
      <left/>
      <right/>
      <top/>
      <bottom style="thin">
        <color rgb="FFD4DEE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4" fillId="4" borderId="2" xfId="0" applyFont="1" applyFill="1" applyBorder="1" applyAlignment="1">
      <alignment vertical="top" wrapText="1"/>
    </xf>
    <xf numFmtId="0" fontId="0" fillId="0" borderId="2" xfId="0" applyBorder="1" applyAlignment="1">
      <alignment vertical="top" wrapText="1"/>
    </xf>
    <xf numFmtId="9" fontId="0" fillId="0" borderId="2" xfId="0" applyNumberFormat="1" applyBorder="1" applyAlignment="1">
      <alignment vertical="top" wrapText="1"/>
    </xf>
    <xf numFmtId="0" fontId="5" fillId="0" borderId="0" xfId="0" applyFont="1"/>
    <xf numFmtId="0" fontId="1" fillId="2" borderId="0" xfId="0" applyFont="1" applyFill="1"/>
    <xf numFmtId="0" fontId="0" fillId="3" borderId="1" xfId="0" applyFill="1" applyBorder="1" applyAlignment="1">
      <alignment vertical="top" wrapText="1"/>
    </xf>
    <xf numFmtId="9" fontId="0" fillId="3" borderId="1" xfId="0" applyNumberForma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9" fontId="0" fillId="0" borderId="1" xfId="0" applyNumberFormat="1" applyBorder="1" applyAlignment="1">
      <alignment vertical="top" wrapText="1"/>
    </xf>
    <xf numFmtId="0" fontId="1" fillId="2" borderId="0" xfId="0" applyFont="1" applyFill="1" applyAlignment="1">
      <alignment vertical="center" wrapText="1"/>
    </xf>
    <xf numFmtId="0" fontId="2" fillId="2" borderId="0" xfId="0" applyFont="1" applyFill="1"/>
    <xf numFmtId="0" fontId="0" fillId="0" borderId="0" xfId="0"/>
    <xf numFmtId="0" fontId="3" fillId="0" borderId="0" xfId="0" applyFont="1" applyAlignment="1">
      <alignment wrapText="1"/>
    </xf>
    <xf numFmtId="16" fontId="0" fillId="3" borderId="1" xfId="0" applyNumberFormat="1" applyFill="1" applyBorder="1" applyAlignment="1">
      <alignment vertical="top" wrapText="1"/>
    </xf>
  </cellXfs>
  <cellStyles count="1">
    <cellStyle name="Normal" xfId="0" builtinId="0"/>
  </cellStyles>
  <dxfs count="3">
    <dxf>
      <fill>
        <patternFill patternType="solid">
          <fgColor rgb="FFFFF2CC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D9EAD3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showGridLines="0" workbookViewId="0">
      <pane ySplit="3" topLeftCell="A4" activePane="bottomLeft" state="frozen"/>
      <selection pane="bottomLeft"/>
    </sheetView>
  </sheetViews>
  <sheetFormatPr defaultRowHeight="14.4" x14ac:dyDescent="0.3"/>
  <cols>
    <col min="1" max="1" width="34" customWidth="1"/>
    <col min="2" max="2" width="18" customWidth="1"/>
    <col min="3" max="3" width="48" customWidth="1"/>
    <col min="4" max="4" width="16" customWidth="1"/>
  </cols>
  <sheetData>
    <row r="1" spans="1:4" ht="23.4" x14ac:dyDescent="0.45">
      <c r="A1" s="11" t="s">
        <v>0</v>
      </c>
      <c r="B1" s="12"/>
      <c r="C1" s="12"/>
      <c r="D1" s="12"/>
    </row>
    <row r="2" spans="1:4" x14ac:dyDescent="0.3">
      <c r="A2" s="13" t="s">
        <v>1</v>
      </c>
      <c r="B2" s="12"/>
      <c r="C2" s="12"/>
      <c r="D2" s="12"/>
    </row>
    <row r="3" spans="1:4" x14ac:dyDescent="0.3">
      <c r="A3" t="s">
        <v>2</v>
      </c>
      <c r="B3" t="s">
        <v>3</v>
      </c>
      <c r="C3" t="s">
        <v>4</v>
      </c>
    </row>
    <row r="4" spans="1:4" x14ac:dyDescent="0.3">
      <c r="A4" s="1" t="s">
        <v>5</v>
      </c>
      <c r="B4" s="2">
        <f>COUNTA('Project Tracker'!B2:B67)</f>
        <v>66</v>
      </c>
      <c r="C4" s="2" t="s">
        <v>6</v>
      </c>
    </row>
    <row r="5" spans="1:4" x14ac:dyDescent="0.3">
      <c r="A5" s="1" t="s">
        <v>7</v>
      </c>
      <c r="B5" s="2">
        <f>COUNTIF('Project Tracker'!H2:H67,"Done")</f>
        <v>4</v>
      </c>
      <c r="C5" s="2" t="s">
        <v>8</v>
      </c>
    </row>
    <row r="6" spans="1:4" x14ac:dyDescent="0.3">
      <c r="A6" s="1" t="s">
        <v>9</v>
      </c>
      <c r="B6" s="2">
        <f>COUNTIF('Project Tracker'!H2:H67,"In Progress")</f>
        <v>3</v>
      </c>
      <c r="C6" s="2" t="s">
        <v>10</v>
      </c>
    </row>
    <row r="7" spans="1:4" x14ac:dyDescent="0.3">
      <c r="A7" s="1" t="s">
        <v>11</v>
      </c>
      <c r="B7" s="2">
        <f>COUNTIF('Project Tracker'!H2:H67,"Blocked")</f>
        <v>0</v>
      </c>
      <c r="C7" s="2" t="s">
        <v>12</v>
      </c>
    </row>
    <row r="8" spans="1:4" x14ac:dyDescent="0.3">
      <c r="A8" s="1" t="s">
        <v>13</v>
      </c>
      <c r="B8" s="3">
        <f>IF(B4=0,0,B5/B4)</f>
        <v>6.0606060606060608E-2</v>
      </c>
      <c r="C8" s="2" t="s">
        <v>14</v>
      </c>
    </row>
    <row r="9" spans="1:4" x14ac:dyDescent="0.3">
      <c r="A9" s="1" t="s">
        <v>15</v>
      </c>
      <c r="B9" s="2">
        <f>COUNTA('Learning Curriculum'!B2:B25)</f>
        <v>24</v>
      </c>
      <c r="C9" s="2" t="s">
        <v>16</v>
      </c>
    </row>
    <row r="10" spans="1:4" x14ac:dyDescent="0.3">
      <c r="A10" s="1" t="s">
        <v>17</v>
      </c>
      <c r="B10" s="2">
        <f>COUNTIF('Learning Curriculum'!G2:G25,"Comfortable")</f>
        <v>0</v>
      </c>
      <c r="C10" s="2" t="s">
        <v>18</v>
      </c>
    </row>
    <row r="13" spans="1:4" ht="17.399999999999999" x14ac:dyDescent="0.35">
      <c r="A13" s="4" t="s">
        <v>19</v>
      </c>
    </row>
    <row r="14" spans="1:4" x14ac:dyDescent="0.3">
      <c r="A14" s="5" t="s">
        <v>20</v>
      </c>
      <c r="B14" s="5" t="s">
        <v>21</v>
      </c>
      <c r="C14" s="5" t="s">
        <v>22</v>
      </c>
      <c r="D14" s="5" t="s">
        <v>23</v>
      </c>
    </row>
    <row r="15" spans="1:4" x14ac:dyDescent="0.3">
      <c r="A15" s="6" t="s">
        <v>24</v>
      </c>
      <c r="B15" s="6">
        <f>COUNTIF('Project Tracker'!A$2:A$67,A15)</f>
        <v>7</v>
      </c>
      <c r="C15" s="6">
        <f>COUNTIFS('Project Tracker'!A$2:A$67,A15,'Project Tracker'!H$2:H$67,"Done")</f>
        <v>4</v>
      </c>
      <c r="D15" s="7">
        <f t="shared" ref="D15:D26" si="0">IF(B15=0,0,C15/B15)</f>
        <v>0.5714285714285714</v>
      </c>
    </row>
    <row r="16" spans="1:4" x14ac:dyDescent="0.3">
      <c r="A16" s="8" t="s">
        <v>25</v>
      </c>
      <c r="B16" s="8">
        <f>COUNTIF('Project Tracker'!A$2:A$67,A16)</f>
        <v>7</v>
      </c>
      <c r="C16" s="8">
        <f>COUNTIFS('Project Tracker'!A$2:A$67,A16,'Project Tracker'!H$2:H$67,"Done")</f>
        <v>0</v>
      </c>
      <c r="D16" s="9">
        <f t="shared" si="0"/>
        <v>0</v>
      </c>
    </row>
    <row r="17" spans="1:4" x14ac:dyDescent="0.3">
      <c r="A17" s="6" t="s">
        <v>26</v>
      </c>
      <c r="B17" s="6">
        <f>COUNTIF('Project Tracker'!A$2:A$67,A17)</f>
        <v>7</v>
      </c>
      <c r="C17" s="6">
        <f>COUNTIFS('Project Tracker'!A$2:A$67,A17,'Project Tracker'!H$2:H$67,"Done")</f>
        <v>0</v>
      </c>
      <c r="D17" s="7">
        <f t="shared" si="0"/>
        <v>0</v>
      </c>
    </row>
    <row r="18" spans="1:4" x14ac:dyDescent="0.3">
      <c r="A18" s="8" t="s">
        <v>27</v>
      </c>
      <c r="B18" s="8">
        <f>COUNTIF('Project Tracker'!A$2:A$67,A18)</f>
        <v>6</v>
      </c>
      <c r="C18" s="8">
        <f>COUNTIFS('Project Tracker'!A$2:A$67,A18,'Project Tracker'!H$2:H$67,"Done")</f>
        <v>0</v>
      </c>
      <c r="D18" s="9">
        <f t="shared" si="0"/>
        <v>0</v>
      </c>
    </row>
    <row r="19" spans="1:4" x14ac:dyDescent="0.3">
      <c r="A19" s="6" t="s">
        <v>28</v>
      </c>
      <c r="B19" s="6">
        <f>COUNTIF('Project Tracker'!A$2:A$67,A19)</f>
        <v>4</v>
      </c>
      <c r="C19" s="6">
        <f>COUNTIFS('Project Tracker'!A$2:A$67,A19,'Project Tracker'!H$2:H$67,"Done")</f>
        <v>0</v>
      </c>
      <c r="D19" s="7">
        <f t="shared" si="0"/>
        <v>0</v>
      </c>
    </row>
    <row r="20" spans="1:4" x14ac:dyDescent="0.3">
      <c r="A20" s="8" t="s">
        <v>29</v>
      </c>
      <c r="B20" s="8">
        <f>COUNTIF('Project Tracker'!A$2:A$67,A20)</f>
        <v>9</v>
      </c>
      <c r="C20" s="8">
        <f>COUNTIFS('Project Tracker'!A$2:A$67,A20,'Project Tracker'!H$2:H$67,"Done")</f>
        <v>0</v>
      </c>
      <c r="D20" s="9">
        <f t="shared" si="0"/>
        <v>0</v>
      </c>
    </row>
    <row r="21" spans="1:4" x14ac:dyDescent="0.3">
      <c r="A21" s="6" t="s">
        <v>30</v>
      </c>
      <c r="B21" s="6">
        <f>COUNTIF('Project Tracker'!A$2:A$67,A21)</f>
        <v>4</v>
      </c>
      <c r="C21" s="6">
        <f>COUNTIFS('Project Tracker'!A$2:A$67,A21,'Project Tracker'!H$2:H$67,"Done")</f>
        <v>0</v>
      </c>
      <c r="D21" s="7">
        <f t="shared" si="0"/>
        <v>0</v>
      </c>
    </row>
    <row r="22" spans="1:4" x14ac:dyDescent="0.3">
      <c r="A22" s="8" t="s">
        <v>31</v>
      </c>
      <c r="B22" s="8">
        <f>COUNTIF('Project Tracker'!A$2:A$67,A22)</f>
        <v>5</v>
      </c>
      <c r="C22" s="8">
        <f>COUNTIFS('Project Tracker'!A$2:A$67,A22,'Project Tracker'!H$2:H$67,"Done")</f>
        <v>0</v>
      </c>
      <c r="D22" s="9">
        <f t="shared" si="0"/>
        <v>0</v>
      </c>
    </row>
    <row r="23" spans="1:4" x14ac:dyDescent="0.3">
      <c r="A23" s="6" t="s">
        <v>32</v>
      </c>
      <c r="B23" s="6">
        <f>COUNTIF('Project Tracker'!A$2:A$67,A23)</f>
        <v>4</v>
      </c>
      <c r="C23" s="6">
        <f>COUNTIFS('Project Tracker'!A$2:A$67,A23,'Project Tracker'!H$2:H$67,"Done")</f>
        <v>0</v>
      </c>
      <c r="D23" s="7">
        <f t="shared" si="0"/>
        <v>0</v>
      </c>
    </row>
    <row r="24" spans="1:4" x14ac:dyDescent="0.3">
      <c r="A24" s="8" t="s">
        <v>33</v>
      </c>
      <c r="B24" s="8">
        <f>COUNTIF('Project Tracker'!A$2:A$67,A24)</f>
        <v>4</v>
      </c>
      <c r="C24" s="8">
        <f>COUNTIFS('Project Tracker'!A$2:A$67,A24,'Project Tracker'!H$2:H$67,"Done")</f>
        <v>0</v>
      </c>
      <c r="D24" s="9">
        <f t="shared" si="0"/>
        <v>0</v>
      </c>
    </row>
    <row r="25" spans="1:4" x14ac:dyDescent="0.3">
      <c r="A25" s="6" t="s">
        <v>34</v>
      </c>
      <c r="B25" s="6">
        <f>COUNTIF('Project Tracker'!A$2:A$67,A25)</f>
        <v>4</v>
      </c>
      <c r="C25" s="6">
        <f>COUNTIFS('Project Tracker'!A$2:A$67,A25,'Project Tracker'!H$2:H$67,"Done")</f>
        <v>0</v>
      </c>
      <c r="D25" s="7">
        <f t="shared" si="0"/>
        <v>0</v>
      </c>
    </row>
    <row r="26" spans="1:4" x14ac:dyDescent="0.3">
      <c r="A26" s="8" t="s">
        <v>35</v>
      </c>
      <c r="B26" s="8">
        <f>COUNTIF('Project Tracker'!A$2:A$67,A26)</f>
        <v>5</v>
      </c>
      <c r="C26" s="8">
        <f>COUNTIFS('Project Tracker'!A$2:A$67,A26,'Project Tracker'!H$2:H$67,"Done")</f>
        <v>0</v>
      </c>
      <c r="D26" s="9">
        <f t="shared" si="0"/>
        <v>0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67"/>
  <sheetViews>
    <sheetView showGridLines="0" tabSelected="1" topLeftCell="C1" workbookViewId="0">
      <pane ySplit="1" topLeftCell="A2" activePane="bottomLeft" state="frozen"/>
      <selection pane="bottomLeft" activeCell="J1" sqref="J1"/>
    </sheetView>
  </sheetViews>
  <sheetFormatPr defaultRowHeight="14.4" x14ac:dyDescent="0.3"/>
  <cols>
    <col min="1" max="1" width="25" customWidth="1"/>
    <col min="2" max="2" width="12" customWidth="1"/>
    <col min="3" max="3" width="39" customWidth="1"/>
    <col min="4" max="4" width="55" customWidth="1"/>
    <col min="5" max="5" width="18" customWidth="1"/>
    <col min="6" max="6" width="12" customWidth="1"/>
    <col min="7" max="7" width="19" customWidth="1"/>
    <col min="8" max="8" width="16" customWidth="1"/>
    <col min="9" max="9" width="58" customWidth="1"/>
    <col min="10" max="10" width="16" customWidth="1"/>
  </cols>
  <sheetData>
    <row r="1" spans="1:10" ht="31.95" customHeight="1" x14ac:dyDescent="0.3">
      <c r="A1" s="10" t="s">
        <v>20</v>
      </c>
      <c r="B1" s="10" t="s">
        <v>36</v>
      </c>
      <c r="C1" s="10" t="s">
        <v>37</v>
      </c>
      <c r="D1" s="10" t="s">
        <v>38</v>
      </c>
      <c r="E1" s="10" t="s">
        <v>39</v>
      </c>
      <c r="F1" s="10" t="s">
        <v>40</v>
      </c>
      <c r="G1" s="10" t="s">
        <v>41</v>
      </c>
      <c r="H1" s="10" t="s">
        <v>42</v>
      </c>
      <c r="I1" s="10" t="s">
        <v>43</v>
      </c>
      <c r="J1" s="10" t="s">
        <v>44</v>
      </c>
    </row>
    <row r="2" spans="1:10" ht="28.8" x14ac:dyDescent="0.3">
      <c r="A2" s="6" t="s">
        <v>24</v>
      </c>
      <c r="B2" s="6" t="s">
        <v>45</v>
      </c>
      <c r="C2" s="6" t="s">
        <v>46</v>
      </c>
      <c r="D2" s="6" t="s">
        <v>47</v>
      </c>
      <c r="E2" s="6" t="s">
        <v>48</v>
      </c>
      <c r="F2" s="6" t="s">
        <v>49</v>
      </c>
      <c r="G2" s="6"/>
      <c r="H2" s="6" t="s">
        <v>547</v>
      </c>
      <c r="I2" s="6" t="s">
        <v>51</v>
      </c>
      <c r="J2" s="6"/>
    </row>
    <row r="3" spans="1:10" ht="28.8" x14ac:dyDescent="0.3">
      <c r="A3" s="8" t="s">
        <v>24</v>
      </c>
      <c r="B3" s="8" t="s">
        <v>52</v>
      </c>
      <c r="C3" s="8" t="s">
        <v>53</v>
      </c>
      <c r="D3" s="8" t="s">
        <v>54</v>
      </c>
      <c r="E3" s="8" t="s">
        <v>48</v>
      </c>
      <c r="F3" s="8" t="s">
        <v>49</v>
      </c>
      <c r="G3" s="8" t="s">
        <v>45</v>
      </c>
      <c r="H3" s="8" t="s">
        <v>547</v>
      </c>
      <c r="I3" s="8" t="s">
        <v>55</v>
      </c>
      <c r="J3" s="8"/>
    </row>
    <row r="4" spans="1:10" ht="28.8" x14ac:dyDescent="0.3">
      <c r="A4" s="6" t="s">
        <v>24</v>
      </c>
      <c r="B4" s="6" t="s">
        <v>56</v>
      </c>
      <c r="C4" s="6" t="s">
        <v>57</v>
      </c>
      <c r="D4" s="6" t="s">
        <v>58</v>
      </c>
      <c r="E4" s="6" t="s">
        <v>59</v>
      </c>
      <c r="F4" s="6" t="s">
        <v>49</v>
      </c>
      <c r="G4" s="6" t="s">
        <v>45</v>
      </c>
      <c r="H4" s="6" t="s">
        <v>22</v>
      </c>
      <c r="I4" s="6" t="s">
        <v>60</v>
      </c>
      <c r="J4" s="14">
        <v>46304</v>
      </c>
    </row>
    <row r="5" spans="1:10" ht="28.8" x14ac:dyDescent="0.3">
      <c r="A5" s="8" t="s">
        <v>24</v>
      </c>
      <c r="B5" s="8" t="s">
        <v>61</v>
      </c>
      <c r="C5" s="8" t="s">
        <v>62</v>
      </c>
      <c r="D5" s="8" t="s">
        <v>63</v>
      </c>
      <c r="E5" s="8" t="s">
        <v>59</v>
      </c>
      <c r="F5" s="8" t="s">
        <v>49</v>
      </c>
      <c r="G5" s="8" t="s">
        <v>56</v>
      </c>
      <c r="H5" s="6" t="s">
        <v>22</v>
      </c>
      <c r="I5" s="8" t="s">
        <v>64</v>
      </c>
      <c r="J5" s="14">
        <v>46304</v>
      </c>
    </row>
    <row r="6" spans="1:10" x14ac:dyDescent="0.3">
      <c r="A6" s="6" t="s">
        <v>24</v>
      </c>
      <c r="B6" s="6" t="s">
        <v>65</v>
      </c>
      <c r="C6" s="6" t="s">
        <v>66</v>
      </c>
      <c r="D6" s="6" t="s">
        <v>67</v>
      </c>
      <c r="E6" s="6" t="s">
        <v>68</v>
      </c>
      <c r="F6" s="6" t="s">
        <v>49</v>
      </c>
      <c r="G6" s="6" t="s">
        <v>61</v>
      </c>
      <c r="H6" s="6" t="s">
        <v>22</v>
      </c>
      <c r="I6" s="6" t="s">
        <v>69</v>
      </c>
      <c r="J6" s="14">
        <v>46304</v>
      </c>
    </row>
    <row r="7" spans="1:10" ht="28.8" x14ac:dyDescent="0.3">
      <c r="A7" s="8" t="s">
        <v>24</v>
      </c>
      <c r="B7" s="8" t="s">
        <v>70</v>
      </c>
      <c r="C7" s="8" t="s">
        <v>71</v>
      </c>
      <c r="D7" s="8" t="s">
        <v>72</v>
      </c>
      <c r="E7" s="8" t="s">
        <v>73</v>
      </c>
      <c r="F7" s="8" t="s">
        <v>49</v>
      </c>
      <c r="G7" s="8" t="s">
        <v>61</v>
      </c>
      <c r="H7" s="8" t="s">
        <v>22</v>
      </c>
      <c r="I7" s="8" t="s">
        <v>74</v>
      </c>
      <c r="J7" s="14">
        <v>46304</v>
      </c>
    </row>
    <row r="8" spans="1:10" ht="28.8" x14ac:dyDescent="0.3">
      <c r="A8" s="6" t="s">
        <v>24</v>
      </c>
      <c r="B8" s="6" t="s">
        <v>75</v>
      </c>
      <c r="C8" s="6" t="s">
        <v>76</v>
      </c>
      <c r="D8" s="6" t="s">
        <v>77</v>
      </c>
      <c r="E8" s="6" t="s">
        <v>78</v>
      </c>
      <c r="F8" s="6" t="s">
        <v>49</v>
      </c>
      <c r="G8" s="6" t="s">
        <v>70</v>
      </c>
      <c r="H8" s="6" t="s">
        <v>547</v>
      </c>
      <c r="I8" s="6" t="s">
        <v>79</v>
      </c>
      <c r="J8" s="6"/>
    </row>
    <row r="9" spans="1:10" ht="28.8" x14ac:dyDescent="0.3">
      <c r="A9" s="8" t="s">
        <v>25</v>
      </c>
      <c r="B9" s="8" t="s">
        <v>80</v>
      </c>
      <c r="C9" s="8" t="s">
        <v>81</v>
      </c>
      <c r="D9" s="8" t="s">
        <v>82</v>
      </c>
      <c r="E9" s="8" t="s">
        <v>83</v>
      </c>
      <c r="F9" s="8" t="s">
        <v>49</v>
      </c>
      <c r="G9" s="8" t="s">
        <v>45</v>
      </c>
      <c r="H9" s="8" t="s">
        <v>50</v>
      </c>
      <c r="I9" s="8" t="s">
        <v>84</v>
      </c>
      <c r="J9" s="8"/>
    </row>
    <row r="10" spans="1:10" ht="28.8" x14ac:dyDescent="0.3">
      <c r="A10" s="6" t="s">
        <v>25</v>
      </c>
      <c r="B10" s="6" t="s">
        <v>85</v>
      </c>
      <c r="C10" s="6" t="s">
        <v>86</v>
      </c>
      <c r="D10" s="6" t="s">
        <v>87</v>
      </c>
      <c r="E10" s="6" t="s">
        <v>83</v>
      </c>
      <c r="F10" s="6" t="s">
        <v>49</v>
      </c>
      <c r="G10" s="6" t="s">
        <v>70</v>
      </c>
      <c r="H10" s="6" t="s">
        <v>50</v>
      </c>
      <c r="I10" s="6" t="s">
        <v>88</v>
      </c>
      <c r="J10" s="6"/>
    </row>
    <row r="11" spans="1:10" ht="28.8" x14ac:dyDescent="0.3">
      <c r="A11" s="8" t="s">
        <v>25</v>
      </c>
      <c r="B11" s="8" t="s">
        <v>89</v>
      </c>
      <c r="C11" s="8" t="s">
        <v>90</v>
      </c>
      <c r="D11" s="8" t="s">
        <v>91</v>
      </c>
      <c r="E11" s="8" t="s">
        <v>83</v>
      </c>
      <c r="F11" s="8" t="s">
        <v>49</v>
      </c>
      <c r="G11" s="8" t="s">
        <v>92</v>
      </c>
      <c r="H11" s="8" t="s">
        <v>50</v>
      </c>
      <c r="I11" s="8" t="s">
        <v>93</v>
      </c>
      <c r="J11" s="8"/>
    </row>
    <row r="12" spans="1:10" ht="28.8" x14ac:dyDescent="0.3">
      <c r="A12" s="6" t="s">
        <v>25</v>
      </c>
      <c r="B12" s="6" t="s">
        <v>94</v>
      </c>
      <c r="C12" s="6" t="s">
        <v>95</v>
      </c>
      <c r="D12" s="6" t="s">
        <v>96</v>
      </c>
      <c r="E12" s="6" t="s">
        <v>83</v>
      </c>
      <c r="F12" s="6" t="s">
        <v>49</v>
      </c>
      <c r="G12" s="6" t="s">
        <v>89</v>
      </c>
      <c r="H12" s="6" t="s">
        <v>50</v>
      </c>
      <c r="I12" s="6" t="s">
        <v>97</v>
      </c>
      <c r="J12" s="6"/>
    </row>
    <row r="13" spans="1:10" ht="28.8" x14ac:dyDescent="0.3">
      <c r="A13" s="8" t="s">
        <v>25</v>
      </c>
      <c r="B13" s="8" t="s">
        <v>98</v>
      </c>
      <c r="C13" s="8" t="s">
        <v>99</v>
      </c>
      <c r="D13" s="8" t="s">
        <v>100</v>
      </c>
      <c r="E13" s="8" t="s">
        <v>83</v>
      </c>
      <c r="F13" s="8" t="s">
        <v>49</v>
      </c>
      <c r="G13" s="8" t="s">
        <v>89</v>
      </c>
      <c r="H13" s="8" t="s">
        <v>50</v>
      </c>
      <c r="I13" s="8" t="s">
        <v>101</v>
      </c>
      <c r="J13" s="8"/>
    </row>
    <row r="14" spans="1:10" ht="28.8" x14ac:dyDescent="0.3">
      <c r="A14" s="6" t="s">
        <v>25</v>
      </c>
      <c r="B14" s="6" t="s">
        <v>102</v>
      </c>
      <c r="C14" s="6" t="s">
        <v>103</v>
      </c>
      <c r="D14" s="6" t="s">
        <v>104</v>
      </c>
      <c r="E14" s="6" t="s">
        <v>83</v>
      </c>
      <c r="F14" s="6" t="s">
        <v>49</v>
      </c>
      <c r="G14" s="6" t="s">
        <v>89</v>
      </c>
      <c r="H14" s="6" t="s">
        <v>50</v>
      </c>
      <c r="I14" s="6" t="s">
        <v>105</v>
      </c>
      <c r="J14" s="6"/>
    </row>
    <row r="15" spans="1:10" ht="28.8" x14ac:dyDescent="0.3">
      <c r="A15" s="8" t="s">
        <v>25</v>
      </c>
      <c r="B15" s="8" t="s">
        <v>106</v>
      </c>
      <c r="C15" s="8" t="s">
        <v>107</v>
      </c>
      <c r="D15" s="8" t="s">
        <v>108</v>
      </c>
      <c r="E15" s="8" t="s">
        <v>109</v>
      </c>
      <c r="F15" s="8" t="s">
        <v>49</v>
      </c>
      <c r="G15" s="8" t="s">
        <v>110</v>
      </c>
      <c r="H15" s="8" t="s">
        <v>50</v>
      </c>
      <c r="I15" s="8" t="s">
        <v>111</v>
      </c>
      <c r="J15" s="8"/>
    </row>
    <row r="16" spans="1:10" ht="28.8" x14ac:dyDescent="0.3">
      <c r="A16" s="6" t="s">
        <v>26</v>
      </c>
      <c r="B16" s="6" t="s">
        <v>112</v>
      </c>
      <c r="C16" s="6" t="s">
        <v>113</v>
      </c>
      <c r="D16" s="6" t="s">
        <v>114</v>
      </c>
      <c r="E16" s="6" t="s">
        <v>115</v>
      </c>
      <c r="F16" s="6" t="s">
        <v>49</v>
      </c>
      <c r="G16" s="6" t="s">
        <v>98</v>
      </c>
      <c r="H16" s="6" t="s">
        <v>50</v>
      </c>
      <c r="I16" s="6" t="s">
        <v>116</v>
      </c>
      <c r="J16" s="6"/>
    </row>
    <row r="17" spans="1:10" ht="28.8" x14ac:dyDescent="0.3">
      <c r="A17" s="8" t="s">
        <v>26</v>
      </c>
      <c r="B17" s="8" t="s">
        <v>117</v>
      </c>
      <c r="C17" s="8" t="s">
        <v>118</v>
      </c>
      <c r="D17" s="8" t="s">
        <v>119</v>
      </c>
      <c r="E17" s="8" t="s">
        <v>73</v>
      </c>
      <c r="F17" s="8" t="s">
        <v>49</v>
      </c>
      <c r="G17" s="8" t="s">
        <v>98</v>
      </c>
      <c r="H17" s="8" t="s">
        <v>50</v>
      </c>
      <c r="I17" s="8" t="s">
        <v>120</v>
      </c>
      <c r="J17" s="8"/>
    </row>
    <row r="18" spans="1:10" ht="28.8" x14ac:dyDescent="0.3">
      <c r="A18" s="6" t="s">
        <v>26</v>
      </c>
      <c r="B18" s="6" t="s">
        <v>121</v>
      </c>
      <c r="C18" s="6" t="s">
        <v>122</v>
      </c>
      <c r="D18" s="6" t="s">
        <v>123</v>
      </c>
      <c r="E18" s="6" t="s">
        <v>124</v>
      </c>
      <c r="F18" s="6" t="s">
        <v>49</v>
      </c>
      <c r="G18" s="6" t="s">
        <v>125</v>
      </c>
      <c r="H18" s="6" t="s">
        <v>50</v>
      </c>
      <c r="I18" s="6" t="s">
        <v>126</v>
      </c>
      <c r="J18" s="6"/>
    </row>
    <row r="19" spans="1:10" ht="28.8" x14ac:dyDescent="0.3">
      <c r="A19" s="8" t="s">
        <v>26</v>
      </c>
      <c r="B19" s="8" t="s">
        <v>127</v>
      </c>
      <c r="C19" s="8" t="s">
        <v>128</v>
      </c>
      <c r="D19" s="8" t="s">
        <v>129</v>
      </c>
      <c r="E19" s="8" t="s">
        <v>115</v>
      </c>
      <c r="F19" s="8" t="s">
        <v>49</v>
      </c>
      <c r="G19" s="8" t="s">
        <v>102</v>
      </c>
      <c r="H19" s="8" t="s">
        <v>50</v>
      </c>
      <c r="I19" s="8" t="s">
        <v>130</v>
      </c>
      <c r="J19" s="8"/>
    </row>
    <row r="20" spans="1:10" ht="28.8" x14ac:dyDescent="0.3">
      <c r="A20" s="6" t="s">
        <v>26</v>
      </c>
      <c r="B20" s="6" t="s">
        <v>131</v>
      </c>
      <c r="C20" s="6" t="s">
        <v>132</v>
      </c>
      <c r="D20" s="6" t="s">
        <v>133</v>
      </c>
      <c r="E20" s="6" t="s">
        <v>73</v>
      </c>
      <c r="F20" s="6" t="s">
        <v>49</v>
      </c>
      <c r="G20" s="6" t="s">
        <v>102</v>
      </c>
      <c r="H20" s="6" t="s">
        <v>50</v>
      </c>
      <c r="I20" s="6" t="s">
        <v>134</v>
      </c>
      <c r="J20" s="6"/>
    </row>
    <row r="21" spans="1:10" ht="28.8" x14ac:dyDescent="0.3">
      <c r="A21" s="8" t="s">
        <v>26</v>
      </c>
      <c r="B21" s="8" t="s">
        <v>135</v>
      </c>
      <c r="C21" s="8" t="s">
        <v>136</v>
      </c>
      <c r="D21" s="8" t="s">
        <v>137</v>
      </c>
      <c r="E21" s="8" t="s">
        <v>124</v>
      </c>
      <c r="F21" s="8" t="s">
        <v>49</v>
      </c>
      <c r="G21" s="8" t="s">
        <v>138</v>
      </c>
      <c r="H21" s="8" t="s">
        <v>50</v>
      </c>
      <c r="I21" s="8" t="s">
        <v>139</v>
      </c>
      <c r="J21" s="8"/>
    </row>
    <row r="22" spans="1:10" x14ac:dyDescent="0.3">
      <c r="A22" s="6" t="s">
        <v>26</v>
      </c>
      <c r="B22" s="6" t="s">
        <v>140</v>
      </c>
      <c r="C22" s="6" t="s">
        <v>141</v>
      </c>
      <c r="D22" s="6" t="s">
        <v>142</v>
      </c>
      <c r="E22" s="6" t="s">
        <v>143</v>
      </c>
      <c r="F22" s="6" t="s">
        <v>144</v>
      </c>
      <c r="G22" s="6" t="s">
        <v>145</v>
      </c>
      <c r="H22" s="6" t="s">
        <v>50</v>
      </c>
      <c r="I22" s="6" t="s">
        <v>146</v>
      </c>
      <c r="J22" s="6"/>
    </row>
    <row r="23" spans="1:10" ht="28.8" x14ac:dyDescent="0.3">
      <c r="A23" s="8" t="s">
        <v>27</v>
      </c>
      <c r="B23" s="8" t="s">
        <v>147</v>
      </c>
      <c r="C23" s="8" t="s">
        <v>148</v>
      </c>
      <c r="D23" s="8" t="s">
        <v>149</v>
      </c>
      <c r="E23" s="8" t="s">
        <v>150</v>
      </c>
      <c r="F23" s="8" t="s">
        <v>49</v>
      </c>
      <c r="G23" s="8" t="s">
        <v>131</v>
      </c>
      <c r="H23" s="8" t="s">
        <v>50</v>
      </c>
      <c r="I23" s="8" t="s">
        <v>151</v>
      </c>
      <c r="J23" s="8"/>
    </row>
    <row r="24" spans="1:10" ht="28.8" x14ac:dyDescent="0.3">
      <c r="A24" s="6" t="s">
        <v>27</v>
      </c>
      <c r="B24" s="6" t="s">
        <v>152</v>
      </c>
      <c r="C24" s="6" t="s">
        <v>153</v>
      </c>
      <c r="D24" s="6" t="s">
        <v>154</v>
      </c>
      <c r="E24" s="6" t="s">
        <v>109</v>
      </c>
      <c r="F24" s="6" t="s">
        <v>49</v>
      </c>
      <c r="G24" s="6" t="s">
        <v>147</v>
      </c>
      <c r="H24" s="6" t="s">
        <v>50</v>
      </c>
      <c r="I24" s="6" t="s">
        <v>155</v>
      </c>
      <c r="J24" s="6"/>
    </row>
    <row r="25" spans="1:10" ht="28.8" x14ac:dyDescent="0.3">
      <c r="A25" s="8" t="s">
        <v>27</v>
      </c>
      <c r="B25" s="8" t="s">
        <v>156</v>
      </c>
      <c r="C25" s="8" t="s">
        <v>157</v>
      </c>
      <c r="D25" s="8" t="s">
        <v>158</v>
      </c>
      <c r="E25" s="8" t="s">
        <v>150</v>
      </c>
      <c r="F25" s="8" t="s">
        <v>49</v>
      </c>
      <c r="G25" s="8" t="s">
        <v>159</v>
      </c>
      <c r="H25" s="8" t="s">
        <v>50</v>
      </c>
      <c r="I25" s="8" t="s">
        <v>160</v>
      </c>
      <c r="J25" s="8"/>
    </row>
    <row r="26" spans="1:10" ht="28.8" x14ac:dyDescent="0.3">
      <c r="A26" s="6" t="s">
        <v>27</v>
      </c>
      <c r="B26" s="6" t="s">
        <v>161</v>
      </c>
      <c r="C26" s="6" t="s">
        <v>162</v>
      </c>
      <c r="D26" s="6" t="s">
        <v>163</v>
      </c>
      <c r="E26" s="6" t="s">
        <v>73</v>
      </c>
      <c r="F26" s="6" t="s">
        <v>49</v>
      </c>
      <c r="G26" s="6" t="s">
        <v>156</v>
      </c>
      <c r="H26" s="6" t="s">
        <v>50</v>
      </c>
      <c r="I26" s="6" t="s">
        <v>164</v>
      </c>
      <c r="J26" s="6"/>
    </row>
    <row r="27" spans="1:10" ht="28.8" x14ac:dyDescent="0.3">
      <c r="A27" s="8" t="s">
        <v>27</v>
      </c>
      <c r="B27" s="8" t="s">
        <v>165</v>
      </c>
      <c r="C27" s="8" t="s">
        <v>166</v>
      </c>
      <c r="D27" s="8" t="s">
        <v>167</v>
      </c>
      <c r="E27" s="8" t="s">
        <v>68</v>
      </c>
      <c r="F27" s="8" t="s">
        <v>49</v>
      </c>
      <c r="G27" s="8" t="s">
        <v>161</v>
      </c>
      <c r="H27" s="8" t="s">
        <v>50</v>
      </c>
      <c r="I27" s="8" t="s">
        <v>168</v>
      </c>
      <c r="J27" s="8"/>
    </row>
    <row r="28" spans="1:10" ht="28.8" x14ac:dyDescent="0.3">
      <c r="A28" s="6" t="s">
        <v>27</v>
      </c>
      <c r="B28" s="6" t="s">
        <v>169</v>
      </c>
      <c r="C28" s="6" t="s">
        <v>170</v>
      </c>
      <c r="D28" s="6" t="s">
        <v>171</v>
      </c>
      <c r="E28" s="6" t="s">
        <v>172</v>
      </c>
      <c r="F28" s="6" t="s">
        <v>49</v>
      </c>
      <c r="G28" s="6" t="s">
        <v>173</v>
      </c>
      <c r="H28" s="6" t="s">
        <v>50</v>
      </c>
      <c r="I28" s="6" t="s">
        <v>174</v>
      </c>
      <c r="J28" s="6"/>
    </row>
    <row r="29" spans="1:10" ht="28.8" x14ac:dyDescent="0.3">
      <c r="A29" s="8" t="s">
        <v>28</v>
      </c>
      <c r="B29" s="8" t="s">
        <v>175</v>
      </c>
      <c r="C29" s="8" t="s">
        <v>176</v>
      </c>
      <c r="D29" s="8" t="s">
        <v>177</v>
      </c>
      <c r="E29" s="8" t="s">
        <v>178</v>
      </c>
      <c r="F29" s="8" t="s">
        <v>49</v>
      </c>
      <c r="G29" s="8" t="s">
        <v>169</v>
      </c>
      <c r="H29" s="8" t="s">
        <v>50</v>
      </c>
      <c r="I29" s="8" t="s">
        <v>179</v>
      </c>
      <c r="J29" s="8"/>
    </row>
    <row r="30" spans="1:10" ht="28.8" x14ac:dyDescent="0.3">
      <c r="A30" s="6" t="s">
        <v>28</v>
      </c>
      <c r="B30" s="6" t="s">
        <v>180</v>
      </c>
      <c r="C30" s="6" t="s">
        <v>181</v>
      </c>
      <c r="D30" s="6" t="s">
        <v>182</v>
      </c>
      <c r="E30" s="6" t="s">
        <v>68</v>
      </c>
      <c r="F30" s="6" t="s">
        <v>49</v>
      </c>
      <c r="G30" s="6" t="s">
        <v>175</v>
      </c>
      <c r="H30" s="6" t="s">
        <v>50</v>
      </c>
      <c r="I30" s="6" t="s">
        <v>183</v>
      </c>
      <c r="J30" s="6"/>
    </row>
    <row r="31" spans="1:10" ht="28.8" x14ac:dyDescent="0.3">
      <c r="A31" s="8" t="s">
        <v>28</v>
      </c>
      <c r="B31" s="8" t="s">
        <v>184</v>
      </c>
      <c r="C31" s="8" t="s">
        <v>185</v>
      </c>
      <c r="D31" s="8" t="s">
        <v>186</v>
      </c>
      <c r="E31" s="8" t="s">
        <v>68</v>
      </c>
      <c r="F31" s="8" t="s">
        <v>144</v>
      </c>
      <c r="G31" s="8" t="s">
        <v>175</v>
      </c>
      <c r="H31" s="8" t="s">
        <v>50</v>
      </c>
      <c r="I31" s="8" t="s">
        <v>187</v>
      </c>
      <c r="J31" s="8"/>
    </row>
    <row r="32" spans="1:10" ht="28.8" x14ac:dyDescent="0.3">
      <c r="A32" s="6" t="s">
        <v>28</v>
      </c>
      <c r="B32" s="6" t="s">
        <v>188</v>
      </c>
      <c r="C32" s="6" t="s">
        <v>189</v>
      </c>
      <c r="D32" s="6" t="s">
        <v>190</v>
      </c>
      <c r="E32" s="6" t="s">
        <v>73</v>
      </c>
      <c r="F32" s="6" t="s">
        <v>49</v>
      </c>
      <c r="G32" s="6" t="s">
        <v>175</v>
      </c>
      <c r="H32" s="6" t="s">
        <v>50</v>
      </c>
      <c r="I32" s="6" t="s">
        <v>191</v>
      </c>
      <c r="J32" s="6"/>
    </row>
    <row r="33" spans="1:10" ht="28.8" x14ac:dyDescent="0.3">
      <c r="A33" s="8" t="s">
        <v>29</v>
      </c>
      <c r="B33" s="8" t="s">
        <v>192</v>
      </c>
      <c r="C33" s="8" t="s">
        <v>193</v>
      </c>
      <c r="D33" s="8" t="s">
        <v>194</v>
      </c>
      <c r="E33" s="8" t="s">
        <v>195</v>
      </c>
      <c r="F33" s="8" t="s">
        <v>49</v>
      </c>
      <c r="G33" s="8" t="s">
        <v>61</v>
      </c>
      <c r="H33" s="8" t="s">
        <v>50</v>
      </c>
      <c r="I33" s="8" t="s">
        <v>196</v>
      </c>
      <c r="J33" s="8"/>
    </row>
    <row r="34" spans="1:10" ht="28.8" x14ac:dyDescent="0.3">
      <c r="A34" s="6" t="s">
        <v>29</v>
      </c>
      <c r="B34" s="6" t="s">
        <v>197</v>
      </c>
      <c r="C34" s="6" t="s">
        <v>198</v>
      </c>
      <c r="D34" s="6" t="s">
        <v>199</v>
      </c>
      <c r="E34" s="6" t="s">
        <v>195</v>
      </c>
      <c r="F34" s="6" t="s">
        <v>49</v>
      </c>
      <c r="G34" s="6" t="s">
        <v>192</v>
      </c>
      <c r="H34" s="6" t="s">
        <v>50</v>
      </c>
      <c r="I34" s="6" t="s">
        <v>200</v>
      </c>
      <c r="J34" s="6"/>
    </row>
    <row r="35" spans="1:10" ht="28.8" x14ac:dyDescent="0.3">
      <c r="A35" s="8" t="s">
        <v>29</v>
      </c>
      <c r="B35" s="8" t="s">
        <v>201</v>
      </c>
      <c r="C35" s="8" t="s">
        <v>202</v>
      </c>
      <c r="D35" s="8" t="s">
        <v>203</v>
      </c>
      <c r="E35" s="8" t="s">
        <v>195</v>
      </c>
      <c r="F35" s="8" t="s">
        <v>49</v>
      </c>
      <c r="G35" s="8" t="s">
        <v>197</v>
      </c>
      <c r="H35" s="8" t="s">
        <v>50</v>
      </c>
      <c r="I35" s="8" t="s">
        <v>204</v>
      </c>
      <c r="J35" s="8"/>
    </row>
    <row r="36" spans="1:10" ht="28.8" x14ac:dyDescent="0.3">
      <c r="A36" s="6" t="s">
        <v>29</v>
      </c>
      <c r="B36" s="6" t="s">
        <v>205</v>
      </c>
      <c r="C36" s="6" t="s">
        <v>206</v>
      </c>
      <c r="D36" s="6" t="s">
        <v>207</v>
      </c>
      <c r="E36" s="6" t="s">
        <v>195</v>
      </c>
      <c r="F36" s="6" t="s">
        <v>144</v>
      </c>
      <c r="G36" s="6" t="s">
        <v>201</v>
      </c>
      <c r="H36" s="6" t="s">
        <v>50</v>
      </c>
      <c r="I36" s="6" t="s">
        <v>208</v>
      </c>
      <c r="J36" s="6"/>
    </row>
    <row r="37" spans="1:10" ht="28.8" x14ac:dyDescent="0.3">
      <c r="A37" s="8" t="s">
        <v>29</v>
      </c>
      <c r="B37" s="8" t="s">
        <v>209</v>
      </c>
      <c r="C37" s="8" t="s">
        <v>210</v>
      </c>
      <c r="D37" s="8" t="s">
        <v>211</v>
      </c>
      <c r="E37" s="8" t="s">
        <v>195</v>
      </c>
      <c r="F37" s="8" t="s">
        <v>49</v>
      </c>
      <c r="G37" s="8" t="s">
        <v>205</v>
      </c>
      <c r="H37" s="8" t="s">
        <v>50</v>
      </c>
      <c r="I37" s="8" t="s">
        <v>212</v>
      </c>
      <c r="J37" s="8"/>
    </row>
    <row r="38" spans="1:10" ht="28.8" x14ac:dyDescent="0.3">
      <c r="A38" s="6" t="s">
        <v>29</v>
      </c>
      <c r="B38" s="6" t="s">
        <v>213</v>
      </c>
      <c r="C38" s="6" t="s">
        <v>214</v>
      </c>
      <c r="D38" s="6" t="s">
        <v>215</v>
      </c>
      <c r="E38" s="6" t="s">
        <v>195</v>
      </c>
      <c r="F38" s="6" t="s">
        <v>49</v>
      </c>
      <c r="G38" s="6" t="s">
        <v>209</v>
      </c>
      <c r="H38" s="6" t="s">
        <v>50</v>
      </c>
      <c r="I38" s="6" t="s">
        <v>216</v>
      </c>
      <c r="J38" s="6"/>
    </row>
    <row r="39" spans="1:10" ht="28.8" x14ac:dyDescent="0.3">
      <c r="A39" s="8" t="s">
        <v>29</v>
      </c>
      <c r="B39" s="8" t="s">
        <v>217</v>
      </c>
      <c r="C39" s="8" t="s">
        <v>218</v>
      </c>
      <c r="D39" s="8" t="s">
        <v>219</v>
      </c>
      <c r="E39" s="8" t="s">
        <v>220</v>
      </c>
      <c r="F39" s="8" t="s">
        <v>144</v>
      </c>
      <c r="G39" s="8" t="s">
        <v>209</v>
      </c>
      <c r="H39" s="8" t="s">
        <v>50</v>
      </c>
      <c r="I39" s="8" t="s">
        <v>221</v>
      </c>
      <c r="J39" s="8"/>
    </row>
    <row r="40" spans="1:10" ht="28.8" x14ac:dyDescent="0.3">
      <c r="A40" s="6" t="s">
        <v>29</v>
      </c>
      <c r="B40" s="6" t="s">
        <v>222</v>
      </c>
      <c r="C40" s="6" t="s">
        <v>223</v>
      </c>
      <c r="D40" s="6" t="s">
        <v>224</v>
      </c>
      <c r="E40" s="6" t="s">
        <v>225</v>
      </c>
      <c r="F40" s="6" t="s">
        <v>49</v>
      </c>
      <c r="G40" s="6" t="s">
        <v>201</v>
      </c>
      <c r="H40" s="6" t="s">
        <v>50</v>
      </c>
      <c r="I40" s="6" t="s">
        <v>226</v>
      </c>
      <c r="J40" s="6"/>
    </row>
    <row r="41" spans="1:10" ht="28.8" x14ac:dyDescent="0.3">
      <c r="A41" s="8" t="s">
        <v>29</v>
      </c>
      <c r="B41" s="8" t="s">
        <v>227</v>
      </c>
      <c r="C41" s="8" t="s">
        <v>228</v>
      </c>
      <c r="D41" s="8" t="s">
        <v>229</v>
      </c>
      <c r="E41" s="8" t="s">
        <v>230</v>
      </c>
      <c r="F41" s="8" t="s">
        <v>49</v>
      </c>
      <c r="G41" s="8" t="s">
        <v>231</v>
      </c>
      <c r="H41" s="8" t="s">
        <v>50</v>
      </c>
      <c r="I41" s="8" t="s">
        <v>232</v>
      </c>
      <c r="J41" s="8"/>
    </row>
    <row r="42" spans="1:10" ht="28.8" x14ac:dyDescent="0.3">
      <c r="A42" s="6" t="s">
        <v>30</v>
      </c>
      <c r="B42" s="6" t="s">
        <v>233</v>
      </c>
      <c r="C42" s="6" t="s">
        <v>234</v>
      </c>
      <c r="D42" s="6" t="s">
        <v>235</v>
      </c>
      <c r="E42" s="6" t="s">
        <v>236</v>
      </c>
      <c r="F42" s="6" t="s">
        <v>144</v>
      </c>
      <c r="G42" s="6" t="s">
        <v>227</v>
      </c>
      <c r="H42" s="6" t="s">
        <v>50</v>
      </c>
      <c r="I42" s="6" t="s">
        <v>237</v>
      </c>
      <c r="J42" s="6"/>
    </row>
    <row r="43" spans="1:10" x14ac:dyDescent="0.3">
      <c r="A43" s="8" t="s">
        <v>30</v>
      </c>
      <c r="B43" s="8" t="s">
        <v>238</v>
      </c>
      <c r="C43" s="8" t="s">
        <v>239</v>
      </c>
      <c r="D43" s="8" t="s">
        <v>240</v>
      </c>
      <c r="E43" s="8" t="s">
        <v>241</v>
      </c>
      <c r="F43" s="8" t="s">
        <v>144</v>
      </c>
      <c r="G43" s="8" t="s">
        <v>233</v>
      </c>
      <c r="H43" s="8" t="s">
        <v>50</v>
      </c>
      <c r="I43" s="8" t="s">
        <v>242</v>
      </c>
      <c r="J43" s="8"/>
    </row>
    <row r="44" spans="1:10" ht="28.8" x14ac:dyDescent="0.3">
      <c r="A44" s="6" t="s">
        <v>30</v>
      </c>
      <c r="B44" s="6" t="s">
        <v>243</v>
      </c>
      <c r="C44" s="6" t="s">
        <v>244</v>
      </c>
      <c r="D44" s="6" t="s">
        <v>245</v>
      </c>
      <c r="E44" s="6" t="s">
        <v>241</v>
      </c>
      <c r="F44" s="6" t="s">
        <v>49</v>
      </c>
      <c r="G44" s="6" t="s">
        <v>238</v>
      </c>
      <c r="H44" s="6" t="s">
        <v>50</v>
      </c>
      <c r="I44" s="6" t="s">
        <v>246</v>
      </c>
      <c r="J44" s="6"/>
    </row>
    <row r="45" spans="1:10" ht="28.8" x14ac:dyDescent="0.3">
      <c r="A45" s="8" t="s">
        <v>30</v>
      </c>
      <c r="B45" s="8" t="s">
        <v>247</v>
      </c>
      <c r="C45" s="8" t="s">
        <v>248</v>
      </c>
      <c r="D45" s="8" t="s">
        <v>249</v>
      </c>
      <c r="E45" s="8" t="s">
        <v>250</v>
      </c>
      <c r="F45" s="8" t="s">
        <v>144</v>
      </c>
      <c r="G45" s="8" t="s">
        <v>243</v>
      </c>
      <c r="H45" s="8" t="s">
        <v>50</v>
      </c>
      <c r="I45" s="8" t="s">
        <v>251</v>
      </c>
      <c r="J45" s="8"/>
    </row>
    <row r="46" spans="1:10" ht="28.8" x14ac:dyDescent="0.3">
      <c r="A46" s="6" t="s">
        <v>31</v>
      </c>
      <c r="B46" s="6" t="s">
        <v>252</v>
      </c>
      <c r="C46" s="6" t="s">
        <v>253</v>
      </c>
      <c r="D46" s="6" t="s">
        <v>254</v>
      </c>
      <c r="E46" s="6" t="s">
        <v>255</v>
      </c>
      <c r="F46" s="6" t="s">
        <v>49</v>
      </c>
      <c r="G46" s="6" t="s">
        <v>256</v>
      </c>
      <c r="H46" s="6" t="s">
        <v>50</v>
      </c>
      <c r="I46" s="6" t="s">
        <v>257</v>
      </c>
      <c r="J46" s="6"/>
    </row>
    <row r="47" spans="1:10" ht="28.8" x14ac:dyDescent="0.3">
      <c r="A47" s="8" t="s">
        <v>31</v>
      </c>
      <c r="B47" s="8" t="s">
        <v>258</v>
      </c>
      <c r="C47" s="8" t="s">
        <v>259</v>
      </c>
      <c r="D47" s="8" t="s">
        <v>260</v>
      </c>
      <c r="E47" s="8" t="s">
        <v>261</v>
      </c>
      <c r="F47" s="8" t="s">
        <v>49</v>
      </c>
      <c r="G47" s="8" t="s">
        <v>252</v>
      </c>
      <c r="H47" s="8" t="s">
        <v>50</v>
      </c>
      <c r="I47" s="8" t="s">
        <v>262</v>
      </c>
      <c r="J47" s="8"/>
    </row>
    <row r="48" spans="1:10" ht="28.8" x14ac:dyDescent="0.3">
      <c r="A48" s="6" t="s">
        <v>31</v>
      </c>
      <c r="B48" s="6" t="s">
        <v>263</v>
      </c>
      <c r="C48" s="6" t="s">
        <v>264</v>
      </c>
      <c r="D48" s="6" t="s">
        <v>265</v>
      </c>
      <c r="E48" s="6" t="s">
        <v>266</v>
      </c>
      <c r="F48" s="6" t="s">
        <v>49</v>
      </c>
      <c r="G48" s="6" t="s">
        <v>267</v>
      </c>
      <c r="H48" s="6" t="s">
        <v>50</v>
      </c>
      <c r="I48" s="6" t="s">
        <v>268</v>
      </c>
      <c r="J48" s="6"/>
    </row>
    <row r="49" spans="1:10" ht="28.8" x14ac:dyDescent="0.3">
      <c r="A49" s="8" t="s">
        <v>31</v>
      </c>
      <c r="B49" s="8" t="s">
        <v>269</v>
      </c>
      <c r="C49" s="8" t="s">
        <v>270</v>
      </c>
      <c r="D49" s="8" t="s">
        <v>271</v>
      </c>
      <c r="E49" s="8" t="s">
        <v>266</v>
      </c>
      <c r="F49" s="8" t="s">
        <v>49</v>
      </c>
      <c r="G49" s="8" t="s">
        <v>263</v>
      </c>
      <c r="H49" s="8" t="s">
        <v>50</v>
      </c>
      <c r="I49" s="8" t="s">
        <v>272</v>
      </c>
      <c r="J49" s="8"/>
    </row>
    <row r="50" spans="1:10" ht="28.8" x14ac:dyDescent="0.3">
      <c r="A50" s="6" t="s">
        <v>31</v>
      </c>
      <c r="B50" s="6" t="s">
        <v>273</v>
      </c>
      <c r="C50" s="6" t="s">
        <v>274</v>
      </c>
      <c r="D50" s="6" t="s">
        <v>275</v>
      </c>
      <c r="E50" s="6" t="s">
        <v>255</v>
      </c>
      <c r="F50" s="6" t="s">
        <v>276</v>
      </c>
      <c r="G50" s="6" t="s">
        <v>269</v>
      </c>
      <c r="H50" s="6" t="s">
        <v>50</v>
      </c>
      <c r="I50" s="6" t="s">
        <v>277</v>
      </c>
      <c r="J50" s="6"/>
    </row>
    <row r="51" spans="1:10" ht="28.8" x14ac:dyDescent="0.3">
      <c r="A51" s="8" t="s">
        <v>32</v>
      </c>
      <c r="B51" s="8" t="s">
        <v>278</v>
      </c>
      <c r="C51" s="8" t="s">
        <v>279</v>
      </c>
      <c r="D51" s="8" t="s">
        <v>280</v>
      </c>
      <c r="E51" s="8" t="s">
        <v>255</v>
      </c>
      <c r="F51" s="8" t="s">
        <v>49</v>
      </c>
      <c r="G51" s="8" t="s">
        <v>217</v>
      </c>
      <c r="H51" s="8" t="s">
        <v>50</v>
      </c>
      <c r="I51" s="8" t="s">
        <v>281</v>
      </c>
      <c r="J51" s="8"/>
    </row>
    <row r="52" spans="1:10" ht="28.8" x14ac:dyDescent="0.3">
      <c r="A52" s="6" t="s">
        <v>32</v>
      </c>
      <c r="B52" s="6" t="s">
        <v>282</v>
      </c>
      <c r="C52" s="6" t="s">
        <v>283</v>
      </c>
      <c r="D52" s="6" t="s">
        <v>284</v>
      </c>
      <c r="E52" s="6" t="s">
        <v>261</v>
      </c>
      <c r="F52" s="6" t="s">
        <v>49</v>
      </c>
      <c r="G52" s="6" t="s">
        <v>278</v>
      </c>
      <c r="H52" s="6" t="s">
        <v>50</v>
      </c>
      <c r="I52" s="6" t="s">
        <v>285</v>
      </c>
      <c r="J52" s="6"/>
    </row>
    <row r="53" spans="1:10" ht="28.8" x14ac:dyDescent="0.3">
      <c r="A53" s="8" t="s">
        <v>32</v>
      </c>
      <c r="B53" s="8" t="s">
        <v>286</v>
      </c>
      <c r="C53" s="8" t="s">
        <v>287</v>
      </c>
      <c r="D53" s="8" t="s">
        <v>288</v>
      </c>
      <c r="E53" s="8" t="s">
        <v>255</v>
      </c>
      <c r="F53" s="8" t="s">
        <v>144</v>
      </c>
      <c r="G53" s="8" t="s">
        <v>282</v>
      </c>
      <c r="H53" s="8" t="s">
        <v>50</v>
      </c>
      <c r="I53" s="8" t="s">
        <v>289</v>
      </c>
      <c r="J53" s="8"/>
    </row>
    <row r="54" spans="1:10" ht="28.8" x14ac:dyDescent="0.3">
      <c r="A54" s="6" t="s">
        <v>32</v>
      </c>
      <c r="B54" s="6" t="s">
        <v>290</v>
      </c>
      <c r="C54" s="6" t="s">
        <v>291</v>
      </c>
      <c r="D54" s="6" t="s">
        <v>292</v>
      </c>
      <c r="E54" s="6" t="s">
        <v>178</v>
      </c>
      <c r="F54" s="6" t="s">
        <v>144</v>
      </c>
      <c r="G54" s="6" t="s">
        <v>286</v>
      </c>
      <c r="H54" s="6" t="s">
        <v>50</v>
      </c>
      <c r="I54" s="6" t="s">
        <v>293</v>
      </c>
      <c r="J54" s="6"/>
    </row>
    <row r="55" spans="1:10" ht="28.8" x14ac:dyDescent="0.3">
      <c r="A55" s="8" t="s">
        <v>33</v>
      </c>
      <c r="B55" s="8" t="s">
        <v>294</v>
      </c>
      <c r="C55" s="8" t="s">
        <v>295</v>
      </c>
      <c r="D55" s="8" t="s">
        <v>296</v>
      </c>
      <c r="E55" s="8" t="s">
        <v>297</v>
      </c>
      <c r="F55" s="8" t="s">
        <v>144</v>
      </c>
      <c r="G55" s="8" t="s">
        <v>298</v>
      </c>
      <c r="H55" s="8" t="s">
        <v>50</v>
      </c>
      <c r="I55" s="8" t="s">
        <v>299</v>
      </c>
      <c r="J55" s="8"/>
    </row>
    <row r="56" spans="1:10" ht="28.8" x14ac:dyDescent="0.3">
      <c r="A56" s="6" t="s">
        <v>33</v>
      </c>
      <c r="B56" s="6" t="s">
        <v>300</v>
      </c>
      <c r="C56" s="6" t="s">
        <v>301</v>
      </c>
      <c r="D56" s="6" t="s">
        <v>302</v>
      </c>
      <c r="E56" s="6" t="s">
        <v>241</v>
      </c>
      <c r="F56" s="6" t="s">
        <v>49</v>
      </c>
      <c r="G56" s="6" t="s">
        <v>294</v>
      </c>
      <c r="H56" s="6" t="s">
        <v>50</v>
      </c>
      <c r="I56" s="6" t="s">
        <v>303</v>
      </c>
      <c r="J56" s="6"/>
    </row>
    <row r="57" spans="1:10" ht="28.8" x14ac:dyDescent="0.3">
      <c r="A57" s="8" t="s">
        <v>33</v>
      </c>
      <c r="B57" s="8" t="s">
        <v>304</v>
      </c>
      <c r="C57" s="8" t="s">
        <v>305</v>
      </c>
      <c r="D57" s="8" t="s">
        <v>306</v>
      </c>
      <c r="E57" s="8" t="s">
        <v>241</v>
      </c>
      <c r="F57" s="8" t="s">
        <v>144</v>
      </c>
      <c r="G57" s="8" t="s">
        <v>300</v>
      </c>
      <c r="H57" s="8" t="s">
        <v>50</v>
      </c>
      <c r="I57" s="8" t="s">
        <v>307</v>
      </c>
      <c r="J57" s="8"/>
    </row>
    <row r="58" spans="1:10" ht="28.8" x14ac:dyDescent="0.3">
      <c r="A58" s="6" t="s">
        <v>33</v>
      </c>
      <c r="B58" s="6" t="s">
        <v>308</v>
      </c>
      <c r="C58" s="6" t="s">
        <v>309</v>
      </c>
      <c r="D58" s="6" t="s">
        <v>310</v>
      </c>
      <c r="E58" s="6" t="s">
        <v>311</v>
      </c>
      <c r="F58" s="6" t="s">
        <v>49</v>
      </c>
      <c r="G58" s="6" t="s">
        <v>304</v>
      </c>
      <c r="H58" s="6" t="s">
        <v>50</v>
      </c>
      <c r="I58" s="6" t="s">
        <v>312</v>
      </c>
      <c r="J58" s="6"/>
    </row>
    <row r="59" spans="1:10" x14ac:dyDescent="0.3">
      <c r="A59" s="8" t="s">
        <v>34</v>
      </c>
      <c r="B59" s="8" t="s">
        <v>313</v>
      </c>
      <c r="C59" s="8" t="s">
        <v>314</v>
      </c>
      <c r="D59" s="8" t="s">
        <v>315</v>
      </c>
      <c r="E59" s="8" t="s">
        <v>124</v>
      </c>
      <c r="F59" s="8" t="s">
        <v>144</v>
      </c>
      <c r="G59" s="8" t="s">
        <v>308</v>
      </c>
      <c r="H59" s="8" t="s">
        <v>50</v>
      </c>
      <c r="I59" s="8" t="s">
        <v>316</v>
      </c>
      <c r="J59" s="8"/>
    </row>
    <row r="60" spans="1:10" ht="28.8" x14ac:dyDescent="0.3">
      <c r="A60" s="6" t="s">
        <v>34</v>
      </c>
      <c r="B60" s="6" t="s">
        <v>317</v>
      </c>
      <c r="C60" s="6" t="s">
        <v>318</v>
      </c>
      <c r="D60" s="6" t="s">
        <v>319</v>
      </c>
      <c r="E60" s="6" t="s">
        <v>172</v>
      </c>
      <c r="F60" s="6" t="s">
        <v>49</v>
      </c>
      <c r="G60" s="6" t="s">
        <v>320</v>
      </c>
      <c r="H60" s="6" t="s">
        <v>50</v>
      </c>
      <c r="I60" s="6" t="s">
        <v>321</v>
      </c>
      <c r="J60" s="6"/>
    </row>
    <row r="61" spans="1:10" ht="28.8" x14ac:dyDescent="0.3">
      <c r="A61" s="8" t="s">
        <v>34</v>
      </c>
      <c r="B61" s="8" t="s">
        <v>322</v>
      </c>
      <c r="C61" s="8" t="s">
        <v>323</v>
      </c>
      <c r="D61" s="8" t="s">
        <v>324</v>
      </c>
      <c r="E61" s="8" t="s">
        <v>68</v>
      </c>
      <c r="F61" s="8" t="s">
        <v>144</v>
      </c>
      <c r="G61" s="8" t="s">
        <v>317</v>
      </c>
      <c r="H61" s="8" t="s">
        <v>50</v>
      </c>
      <c r="I61" s="8" t="s">
        <v>325</v>
      </c>
      <c r="J61" s="8"/>
    </row>
    <row r="62" spans="1:10" ht="28.8" x14ac:dyDescent="0.3">
      <c r="A62" s="6" t="s">
        <v>34</v>
      </c>
      <c r="B62" s="6" t="s">
        <v>326</v>
      </c>
      <c r="C62" s="6" t="s">
        <v>327</v>
      </c>
      <c r="D62" s="6" t="s">
        <v>328</v>
      </c>
      <c r="E62" s="6" t="s">
        <v>329</v>
      </c>
      <c r="F62" s="6" t="s">
        <v>144</v>
      </c>
      <c r="G62" s="6" t="s">
        <v>317</v>
      </c>
      <c r="H62" s="6" t="s">
        <v>50</v>
      </c>
      <c r="I62" s="6" t="s">
        <v>330</v>
      </c>
      <c r="J62" s="6"/>
    </row>
    <row r="63" spans="1:10" ht="28.8" x14ac:dyDescent="0.3">
      <c r="A63" s="8" t="s">
        <v>35</v>
      </c>
      <c r="B63" s="8" t="s">
        <v>331</v>
      </c>
      <c r="C63" s="8" t="s">
        <v>332</v>
      </c>
      <c r="D63" s="8" t="s">
        <v>333</v>
      </c>
      <c r="E63" s="8" t="s">
        <v>334</v>
      </c>
      <c r="F63" s="8" t="s">
        <v>144</v>
      </c>
      <c r="G63" s="8" t="s">
        <v>317</v>
      </c>
      <c r="H63" s="8" t="s">
        <v>50</v>
      </c>
      <c r="I63" s="8" t="s">
        <v>335</v>
      </c>
      <c r="J63" s="8"/>
    </row>
    <row r="64" spans="1:10" ht="28.8" x14ac:dyDescent="0.3">
      <c r="A64" s="6" t="s">
        <v>35</v>
      </c>
      <c r="B64" s="6" t="s">
        <v>336</v>
      </c>
      <c r="C64" s="6" t="s">
        <v>337</v>
      </c>
      <c r="D64" s="6" t="s">
        <v>338</v>
      </c>
      <c r="E64" s="6" t="s">
        <v>334</v>
      </c>
      <c r="F64" s="6" t="s">
        <v>144</v>
      </c>
      <c r="G64" s="6" t="s">
        <v>331</v>
      </c>
      <c r="H64" s="6" t="s">
        <v>50</v>
      </c>
      <c r="I64" s="6" t="s">
        <v>339</v>
      </c>
      <c r="J64" s="6"/>
    </row>
    <row r="65" spans="1:10" ht="28.8" x14ac:dyDescent="0.3">
      <c r="A65" s="8" t="s">
        <v>35</v>
      </c>
      <c r="B65" s="8" t="s">
        <v>340</v>
      </c>
      <c r="C65" s="8" t="s">
        <v>341</v>
      </c>
      <c r="D65" s="8" t="s">
        <v>342</v>
      </c>
      <c r="E65" s="8" t="s">
        <v>343</v>
      </c>
      <c r="F65" s="8" t="s">
        <v>49</v>
      </c>
      <c r="G65" s="8" t="s">
        <v>336</v>
      </c>
      <c r="H65" s="8" t="s">
        <v>50</v>
      </c>
      <c r="I65" s="8" t="s">
        <v>344</v>
      </c>
      <c r="J65" s="8"/>
    </row>
    <row r="66" spans="1:10" ht="28.8" x14ac:dyDescent="0.3">
      <c r="A66" s="6" t="s">
        <v>35</v>
      </c>
      <c r="B66" s="6" t="s">
        <v>345</v>
      </c>
      <c r="C66" s="6" t="s">
        <v>346</v>
      </c>
      <c r="D66" s="6" t="s">
        <v>347</v>
      </c>
      <c r="E66" s="6" t="s">
        <v>348</v>
      </c>
      <c r="F66" s="6" t="s">
        <v>49</v>
      </c>
      <c r="G66" s="6" t="s">
        <v>340</v>
      </c>
      <c r="H66" s="6" t="s">
        <v>50</v>
      </c>
      <c r="I66" s="6" t="s">
        <v>349</v>
      </c>
      <c r="J66" s="6"/>
    </row>
    <row r="67" spans="1:10" ht="28.8" x14ac:dyDescent="0.3">
      <c r="A67" s="8" t="s">
        <v>35</v>
      </c>
      <c r="B67" s="8" t="s">
        <v>350</v>
      </c>
      <c r="C67" s="8" t="s">
        <v>351</v>
      </c>
      <c r="D67" s="8" t="s">
        <v>352</v>
      </c>
      <c r="E67" s="8" t="s">
        <v>353</v>
      </c>
      <c r="F67" s="8" t="s">
        <v>144</v>
      </c>
      <c r="G67" s="8" t="s">
        <v>345</v>
      </c>
      <c r="H67" s="8" t="s">
        <v>50</v>
      </c>
      <c r="I67" s="8" t="s">
        <v>354</v>
      </c>
      <c r="J67" s="8"/>
    </row>
  </sheetData>
  <autoFilter ref="A1:J67" xr:uid="{00000000-0009-0000-0000-000001000000}"/>
  <conditionalFormatting sqref="H2:H67">
    <cfRule type="expression" dxfId="2" priority="1">
      <formula>H2="Done"</formula>
    </cfRule>
    <cfRule type="expression" dxfId="1" priority="2">
      <formula>H2="Blocked"</formula>
    </cfRule>
    <cfRule type="expression" dxfId="0" priority="3">
      <formula>H2="In Progress"</formula>
    </cfRule>
  </conditionalFormatting>
  <dataValidations count="2">
    <dataValidation type="list" sqref="H2:H67" xr:uid="{00000000-0002-0000-0100-000000000000}">
      <formula1>"Not Started,In Progress,Blocked,Done,Skipped"</formula1>
    </dataValidation>
    <dataValidation type="list" sqref="F2:F67" xr:uid="{00000000-0002-0000-0100-000001000000}">
      <formula1>"High,Medium,Low"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5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0" customWidth="1"/>
    <col min="2" max="2" width="26" customWidth="1"/>
    <col min="3" max="3" width="55" customWidth="1"/>
    <col min="4" max="4" width="43" customWidth="1"/>
    <col min="5" max="5" width="48" customWidth="1"/>
    <col min="6" max="6" width="22" customWidth="1"/>
    <col min="7" max="7" width="16" customWidth="1"/>
    <col min="8" max="8" width="18" customWidth="1"/>
    <col min="9" max="9" width="34" customWidth="1"/>
  </cols>
  <sheetData>
    <row r="1" spans="1:9" ht="31.95" customHeight="1" x14ac:dyDescent="0.3">
      <c r="A1" s="10" t="s">
        <v>355</v>
      </c>
      <c r="B1" s="10" t="s">
        <v>356</v>
      </c>
      <c r="C1" s="10" t="s">
        <v>357</v>
      </c>
      <c r="D1" s="10" t="s">
        <v>358</v>
      </c>
      <c r="E1" s="10" t="s">
        <v>359</v>
      </c>
      <c r="F1" s="10" t="s">
        <v>360</v>
      </c>
      <c r="G1" s="10" t="s">
        <v>42</v>
      </c>
      <c r="H1" s="10" t="s">
        <v>361</v>
      </c>
      <c r="I1" s="10" t="s">
        <v>362</v>
      </c>
    </row>
    <row r="2" spans="1:9" ht="28.8" x14ac:dyDescent="0.3">
      <c r="A2" s="6" t="s">
        <v>363</v>
      </c>
      <c r="B2" s="6" t="s">
        <v>364</v>
      </c>
      <c r="C2" s="6" t="s">
        <v>365</v>
      </c>
      <c r="D2" s="6" t="s">
        <v>366</v>
      </c>
      <c r="E2" s="6" t="s">
        <v>367</v>
      </c>
      <c r="F2" s="6" t="s">
        <v>192</v>
      </c>
      <c r="G2" s="6" t="s">
        <v>50</v>
      </c>
      <c r="H2" s="6"/>
      <c r="I2" s="6"/>
    </row>
    <row r="3" spans="1:9" ht="28.8" x14ac:dyDescent="0.3">
      <c r="A3" s="8" t="s">
        <v>363</v>
      </c>
      <c r="B3" s="8" t="s">
        <v>368</v>
      </c>
      <c r="C3" s="8" t="s">
        <v>369</v>
      </c>
      <c r="D3" s="8" t="s">
        <v>370</v>
      </c>
      <c r="E3" s="8" t="s">
        <v>371</v>
      </c>
      <c r="F3" s="8" t="s">
        <v>197</v>
      </c>
      <c r="G3" s="8" t="s">
        <v>50</v>
      </c>
      <c r="H3" s="8"/>
      <c r="I3" s="8"/>
    </row>
    <row r="4" spans="1:9" ht="28.8" x14ac:dyDescent="0.3">
      <c r="A4" s="6" t="s">
        <v>363</v>
      </c>
      <c r="B4" s="6" t="s">
        <v>372</v>
      </c>
      <c r="C4" s="6" t="s">
        <v>373</v>
      </c>
      <c r="D4" s="6" t="s">
        <v>374</v>
      </c>
      <c r="E4" s="6" t="s">
        <v>375</v>
      </c>
      <c r="F4" s="6" t="s">
        <v>197</v>
      </c>
      <c r="G4" s="6" t="s">
        <v>50</v>
      </c>
      <c r="H4" s="6"/>
      <c r="I4" s="6"/>
    </row>
    <row r="5" spans="1:9" x14ac:dyDescent="0.3">
      <c r="A5" s="8" t="s">
        <v>363</v>
      </c>
      <c r="B5" s="8" t="s">
        <v>376</v>
      </c>
      <c r="C5" s="8" t="s">
        <v>377</v>
      </c>
      <c r="D5" s="8" t="s">
        <v>378</v>
      </c>
      <c r="E5" s="8" t="s">
        <v>379</v>
      </c>
      <c r="F5" s="8" t="s">
        <v>201</v>
      </c>
      <c r="G5" s="8" t="s">
        <v>50</v>
      </c>
      <c r="H5" s="8"/>
      <c r="I5" s="8"/>
    </row>
    <row r="6" spans="1:9" x14ac:dyDescent="0.3">
      <c r="A6" s="6" t="s">
        <v>363</v>
      </c>
      <c r="B6" s="6" t="s">
        <v>380</v>
      </c>
      <c r="C6" s="6" t="s">
        <v>381</v>
      </c>
      <c r="D6" s="6" t="s">
        <v>382</v>
      </c>
      <c r="E6" s="6" t="s">
        <v>383</v>
      </c>
      <c r="F6" s="6" t="s">
        <v>201</v>
      </c>
      <c r="G6" s="6" t="s">
        <v>50</v>
      </c>
      <c r="H6" s="6"/>
      <c r="I6" s="6"/>
    </row>
    <row r="7" spans="1:9" x14ac:dyDescent="0.3">
      <c r="A7" s="8" t="s">
        <v>384</v>
      </c>
      <c r="B7" s="8" t="s">
        <v>385</v>
      </c>
      <c r="C7" s="8" t="s">
        <v>386</v>
      </c>
      <c r="D7" s="8" t="s">
        <v>387</v>
      </c>
      <c r="E7" s="8" t="s">
        <v>388</v>
      </c>
      <c r="F7" s="8" t="s">
        <v>205</v>
      </c>
      <c r="G7" s="8" t="s">
        <v>50</v>
      </c>
      <c r="H7" s="8"/>
      <c r="I7" s="8"/>
    </row>
    <row r="8" spans="1:9" ht="28.8" x14ac:dyDescent="0.3">
      <c r="A8" s="6" t="s">
        <v>389</v>
      </c>
      <c r="B8" s="6" t="s">
        <v>390</v>
      </c>
      <c r="C8" s="6" t="s">
        <v>391</v>
      </c>
      <c r="D8" s="6" t="s">
        <v>392</v>
      </c>
      <c r="E8" s="6" t="s">
        <v>393</v>
      </c>
      <c r="F8" s="6" t="s">
        <v>209</v>
      </c>
      <c r="G8" s="6" t="s">
        <v>50</v>
      </c>
      <c r="H8" s="6"/>
      <c r="I8" s="6"/>
    </row>
    <row r="9" spans="1:9" ht="28.8" x14ac:dyDescent="0.3">
      <c r="A9" s="8" t="s">
        <v>389</v>
      </c>
      <c r="B9" s="8" t="s">
        <v>394</v>
      </c>
      <c r="C9" s="8" t="s">
        <v>395</v>
      </c>
      <c r="D9" s="8" t="s">
        <v>396</v>
      </c>
      <c r="E9" s="8" t="s">
        <v>397</v>
      </c>
      <c r="F9" s="8" t="s">
        <v>213</v>
      </c>
      <c r="G9" s="8" t="s">
        <v>50</v>
      </c>
      <c r="H9" s="8"/>
      <c r="I9" s="8"/>
    </row>
    <row r="10" spans="1:9" x14ac:dyDescent="0.3">
      <c r="A10" s="6" t="s">
        <v>109</v>
      </c>
      <c r="B10" s="6" t="s">
        <v>398</v>
      </c>
      <c r="C10" s="6" t="s">
        <v>399</v>
      </c>
      <c r="D10" s="6" t="s">
        <v>400</v>
      </c>
      <c r="E10" s="6" t="s">
        <v>401</v>
      </c>
      <c r="F10" s="6" t="s">
        <v>213</v>
      </c>
      <c r="G10" s="6" t="s">
        <v>50</v>
      </c>
      <c r="H10" s="6"/>
      <c r="I10" s="6"/>
    </row>
    <row r="11" spans="1:9" ht="28.8" x14ac:dyDescent="0.3">
      <c r="A11" s="8" t="s">
        <v>402</v>
      </c>
      <c r="B11" s="8" t="s">
        <v>403</v>
      </c>
      <c r="C11" s="8" t="s">
        <v>404</v>
      </c>
      <c r="D11" s="8" t="s">
        <v>405</v>
      </c>
      <c r="E11" s="8" t="s">
        <v>406</v>
      </c>
      <c r="F11" s="8" t="s">
        <v>217</v>
      </c>
      <c r="G11" s="8" t="s">
        <v>50</v>
      </c>
      <c r="H11" s="8"/>
      <c r="I11" s="8"/>
    </row>
    <row r="12" spans="1:9" ht="28.8" x14ac:dyDescent="0.3">
      <c r="A12" s="6" t="s">
        <v>172</v>
      </c>
      <c r="B12" s="6" t="s">
        <v>407</v>
      </c>
      <c r="C12" s="6" t="s">
        <v>408</v>
      </c>
      <c r="D12" s="6" t="s">
        <v>409</v>
      </c>
      <c r="E12" s="6" t="s">
        <v>410</v>
      </c>
      <c r="F12" s="6" t="s">
        <v>222</v>
      </c>
      <c r="G12" s="6" t="s">
        <v>50</v>
      </c>
      <c r="H12" s="6"/>
      <c r="I12" s="6"/>
    </row>
    <row r="13" spans="1:9" x14ac:dyDescent="0.3">
      <c r="A13" s="8" t="s">
        <v>411</v>
      </c>
      <c r="B13" s="8" t="s">
        <v>412</v>
      </c>
      <c r="C13" s="8" t="s">
        <v>413</v>
      </c>
      <c r="D13" s="8" t="s">
        <v>414</v>
      </c>
      <c r="E13" s="8" t="s">
        <v>415</v>
      </c>
      <c r="F13" s="8" t="s">
        <v>233</v>
      </c>
      <c r="G13" s="8" t="s">
        <v>50</v>
      </c>
      <c r="H13" s="8"/>
      <c r="I13" s="8"/>
    </row>
    <row r="14" spans="1:9" ht="28.8" x14ac:dyDescent="0.3">
      <c r="A14" s="6" t="s">
        <v>411</v>
      </c>
      <c r="B14" s="6" t="s">
        <v>416</v>
      </c>
      <c r="C14" s="6" t="s">
        <v>417</v>
      </c>
      <c r="D14" s="6" t="s">
        <v>418</v>
      </c>
      <c r="E14" s="6" t="s">
        <v>419</v>
      </c>
      <c r="F14" s="6" t="s">
        <v>247</v>
      </c>
      <c r="G14" s="6" t="s">
        <v>50</v>
      </c>
      <c r="H14" s="6"/>
      <c r="I14" s="6"/>
    </row>
    <row r="15" spans="1:9" ht="28.8" x14ac:dyDescent="0.3">
      <c r="A15" s="8" t="s">
        <v>420</v>
      </c>
      <c r="B15" s="8" t="s">
        <v>421</v>
      </c>
      <c r="C15" s="8" t="s">
        <v>422</v>
      </c>
      <c r="D15" s="8" t="s">
        <v>423</v>
      </c>
      <c r="E15" s="8" t="s">
        <v>424</v>
      </c>
      <c r="F15" s="8" t="s">
        <v>252</v>
      </c>
      <c r="G15" s="8" t="s">
        <v>50</v>
      </c>
      <c r="H15" s="8"/>
      <c r="I15" s="8"/>
    </row>
    <row r="16" spans="1:9" ht="28.8" x14ac:dyDescent="0.3">
      <c r="A16" s="6" t="s">
        <v>425</v>
      </c>
      <c r="B16" s="6" t="s">
        <v>426</v>
      </c>
      <c r="C16" s="6" t="s">
        <v>427</v>
      </c>
      <c r="D16" s="6" t="s">
        <v>428</v>
      </c>
      <c r="E16" s="6" t="s">
        <v>429</v>
      </c>
      <c r="F16" s="6" t="s">
        <v>258</v>
      </c>
      <c r="G16" s="6" t="s">
        <v>50</v>
      </c>
      <c r="H16" s="6"/>
      <c r="I16" s="6"/>
    </row>
    <row r="17" spans="1:9" ht="28.8" x14ac:dyDescent="0.3">
      <c r="A17" s="8" t="s">
        <v>425</v>
      </c>
      <c r="B17" s="8" t="s">
        <v>430</v>
      </c>
      <c r="C17" s="8" t="s">
        <v>431</v>
      </c>
      <c r="D17" s="8" t="s">
        <v>432</v>
      </c>
      <c r="E17" s="8" t="s">
        <v>433</v>
      </c>
      <c r="F17" s="8" t="s">
        <v>269</v>
      </c>
      <c r="G17" s="8" t="s">
        <v>50</v>
      </c>
      <c r="H17" s="8"/>
      <c r="I17" s="8"/>
    </row>
    <row r="18" spans="1:9" ht="28.8" x14ac:dyDescent="0.3">
      <c r="A18" s="6" t="s">
        <v>434</v>
      </c>
      <c r="B18" s="6" t="s">
        <v>435</v>
      </c>
      <c r="C18" s="6" t="s">
        <v>436</v>
      </c>
      <c r="D18" s="6" t="s">
        <v>437</v>
      </c>
      <c r="E18" s="6" t="s">
        <v>438</v>
      </c>
      <c r="F18" s="6" t="s">
        <v>273</v>
      </c>
      <c r="G18" s="6" t="s">
        <v>50</v>
      </c>
      <c r="H18" s="6"/>
      <c r="I18" s="6"/>
    </row>
    <row r="19" spans="1:9" x14ac:dyDescent="0.3">
      <c r="A19" s="8" t="s">
        <v>439</v>
      </c>
      <c r="B19" s="8" t="s">
        <v>440</v>
      </c>
      <c r="C19" s="8" t="s">
        <v>441</v>
      </c>
      <c r="D19" s="8" t="s">
        <v>442</v>
      </c>
      <c r="E19" s="8" t="s">
        <v>443</v>
      </c>
      <c r="F19" s="8" t="s">
        <v>444</v>
      </c>
      <c r="G19" s="8" t="s">
        <v>50</v>
      </c>
      <c r="H19" s="8"/>
      <c r="I19" s="8"/>
    </row>
    <row r="20" spans="1:9" x14ac:dyDescent="0.3">
      <c r="A20" s="6" t="s">
        <v>439</v>
      </c>
      <c r="B20" s="6" t="s">
        <v>445</v>
      </c>
      <c r="C20" s="6" t="s">
        <v>446</v>
      </c>
      <c r="D20" s="6" t="s">
        <v>447</v>
      </c>
      <c r="E20" s="6" t="s">
        <v>448</v>
      </c>
      <c r="F20" s="6" t="s">
        <v>286</v>
      </c>
      <c r="G20" s="6" t="s">
        <v>50</v>
      </c>
      <c r="H20" s="6"/>
      <c r="I20" s="6"/>
    </row>
    <row r="21" spans="1:9" ht="28.8" x14ac:dyDescent="0.3">
      <c r="A21" s="8" t="s">
        <v>449</v>
      </c>
      <c r="B21" s="8" t="s">
        <v>450</v>
      </c>
      <c r="C21" s="8" t="s">
        <v>451</v>
      </c>
      <c r="D21" s="8" t="s">
        <v>452</v>
      </c>
      <c r="E21" s="8" t="s">
        <v>453</v>
      </c>
      <c r="F21" s="8" t="s">
        <v>454</v>
      </c>
      <c r="G21" s="8" t="s">
        <v>50</v>
      </c>
      <c r="H21" s="8"/>
      <c r="I21" s="8"/>
    </row>
    <row r="22" spans="1:9" ht="28.8" x14ac:dyDescent="0.3">
      <c r="A22" s="6" t="s">
        <v>449</v>
      </c>
      <c r="B22" s="6" t="s">
        <v>455</v>
      </c>
      <c r="C22" s="6" t="s">
        <v>456</v>
      </c>
      <c r="D22" s="6" t="s">
        <v>457</v>
      </c>
      <c r="E22" s="6" t="s">
        <v>458</v>
      </c>
      <c r="F22" s="6" t="s">
        <v>308</v>
      </c>
      <c r="G22" s="6" t="s">
        <v>50</v>
      </c>
      <c r="H22" s="6"/>
      <c r="I22" s="6"/>
    </row>
    <row r="23" spans="1:9" ht="28.8" x14ac:dyDescent="0.3">
      <c r="A23" s="8" t="s">
        <v>459</v>
      </c>
      <c r="B23" s="8" t="s">
        <v>460</v>
      </c>
      <c r="C23" s="8" t="s">
        <v>461</v>
      </c>
      <c r="D23" s="8" t="s">
        <v>462</v>
      </c>
      <c r="E23" s="8" t="s">
        <v>463</v>
      </c>
      <c r="F23" s="8" t="s">
        <v>464</v>
      </c>
      <c r="G23" s="8" t="s">
        <v>50</v>
      </c>
      <c r="H23" s="8"/>
      <c r="I23" s="8"/>
    </row>
    <row r="24" spans="1:9" ht="28.8" x14ac:dyDescent="0.3">
      <c r="A24" s="6" t="s">
        <v>465</v>
      </c>
      <c r="B24" s="6" t="s">
        <v>466</v>
      </c>
      <c r="C24" s="6" t="s">
        <v>467</v>
      </c>
      <c r="D24" s="6" t="s">
        <v>468</v>
      </c>
      <c r="E24" s="6" t="s">
        <v>469</v>
      </c>
      <c r="F24" s="6" t="s">
        <v>470</v>
      </c>
      <c r="G24" s="6" t="s">
        <v>50</v>
      </c>
      <c r="H24" s="6"/>
      <c r="I24" s="6"/>
    </row>
    <row r="25" spans="1:9" ht="28.8" x14ac:dyDescent="0.3">
      <c r="A25" s="8" t="s">
        <v>471</v>
      </c>
      <c r="B25" s="8" t="s">
        <v>472</v>
      </c>
      <c r="C25" s="8" t="s">
        <v>473</v>
      </c>
      <c r="D25" s="8" t="s">
        <v>474</v>
      </c>
      <c r="E25" s="8" t="s">
        <v>475</v>
      </c>
      <c r="F25" s="8" t="s">
        <v>476</v>
      </c>
      <c r="G25" s="8" t="s">
        <v>50</v>
      </c>
      <c r="H25" s="8"/>
      <c r="I25" s="8"/>
    </row>
  </sheetData>
  <autoFilter ref="A1:I25" xr:uid="{00000000-0009-0000-0000-000002000000}"/>
  <dataValidations count="2">
    <dataValidation type="list" sqref="G2:G25" xr:uid="{00000000-0002-0000-0200-000000000000}">
      <formula1>"Not Started,Learning,Practising,Comfortable,Revisit"</formula1>
    </dataValidation>
    <dataValidation type="list" allowBlank="1" sqref="H2:H25" xr:uid="{00000000-0002-0000-0200-000001000000}">
      <formula1>"1,2,3,4,5"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61"/>
  <sheetViews>
    <sheetView showGridLines="0"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14" customWidth="1"/>
    <col min="2" max="2" width="35" customWidth="1"/>
    <col min="3" max="3" width="18" customWidth="1"/>
    <col min="4" max="4" width="44" customWidth="1"/>
    <col min="5" max="5" width="40" customWidth="1"/>
    <col min="6" max="7" width="38" customWidth="1"/>
    <col min="8" max="8" width="36" customWidth="1"/>
    <col min="9" max="9" width="20" customWidth="1"/>
    <col min="10" max="10" width="18" customWidth="1"/>
  </cols>
  <sheetData>
    <row r="1" spans="1:10" ht="31.95" customHeight="1" x14ac:dyDescent="0.3">
      <c r="A1" s="10" t="s">
        <v>477</v>
      </c>
      <c r="B1" s="10" t="s">
        <v>478</v>
      </c>
      <c r="C1" s="10" t="s">
        <v>479</v>
      </c>
      <c r="D1" s="10" t="s">
        <v>480</v>
      </c>
      <c r="E1" s="10" t="s">
        <v>481</v>
      </c>
      <c r="F1" s="10" t="s">
        <v>482</v>
      </c>
      <c r="G1" s="10" t="s">
        <v>483</v>
      </c>
      <c r="H1" s="10" t="s">
        <v>484</v>
      </c>
      <c r="I1" s="10" t="s">
        <v>485</v>
      </c>
      <c r="J1" s="10" t="s">
        <v>486</v>
      </c>
    </row>
    <row r="2" spans="1:10" x14ac:dyDescent="0.3">
      <c r="A2" s="6"/>
      <c r="B2" s="6"/>
      <c r="C2" s="6"/>
      <c r="D2" s="6"/>
      <c r="E2" s="6"/>
      <c r="F2" s="6"/>
      <c r="G2" s="6"/>
      <c r="H2" s="6"/>
      <c r="I2" s="6"/>
      <c r="J2" s="6"/>
    </row>
    <row r="3" spans="1:10" x14ac:dyDescent="0.3">
      <c r="A3" s="8"/>
      <c r="B3" s="8"/>
      <c r="C3" s="8"/>
      <c r="D3" s="8"/>
      <c r="E3" s="8"/>
      <c r="F3" s="8"/>
      <c r="G3" s="8"/>
      <c r="H3" s="8"/>
      <c r="I3" s="8"/>
      <c r="J3" s="8"/>
    </row>
    <row r="4" spans="1:10" x14ac:dyDescent="0.3">
      <c r="A4" s="6"/>
      <c r="B4" s="6"/>
      <c r="C4" s="6"/>
      <c r="D4" s="6"/>
      <c r="E4" s="6"/>
      <c r="F4" s="6"/>
      <c r="G4" s="6"/>
      <c r="H4" s="6"/>
      <c r="I4" s="6"/>
      <c r="J4" s="6"/>
    </row>
    <row r="5" spans="1:10" x14ac:dyDescent="0.3">
      <c r="A5" s="8"/>
      <c r="B5" s="8"/>
      <c r="C5" s="8"/>
      <c r="D5" s="8"/>
      <c r="E5" s="8"/>
      <c r="F5" s="8"/>
      <c r="G5" s="8"/>
      <c r="H5" s="8"/>
      <c r="I5" s="8"/>
      <c r="J5" s="8"/>
    </row>
    <row r="6" spans="1:10" x14ac:dyDescent="0.3">
      <c r="A6" s="6"/>
      <c r="B6" s="6"/>
      <c r="C6" s="6"/>
      <c r="D6" s="6"/>
      <c r="E6" s="6"/>
      <c r="F6" s="6"/>
      <c r="G6" s="6"/>
      <c r="H6" s="6"/>
      <c r="I6" s="6"/>
      <c r="J6" s="6"/>
    </row>
    <row r="7" spans="1:10" x14ac:dyDescent="0.3">
      <c r="A7" s="8"/>
      <c r="B7" s="8"/>
      <c r="C7" s="8"/>
      <c r="D7" s="8"/>
      <c r="E7" s="8"/>
      <c r="F7" s="8"/>
      <c r="G7" s="8"/>
      <c r="H7" s="8"/>
      <c r="I7" s="8"/>
      <c r="J7" s="8"/>
    </row>
    <row r="8" spans="1:10" x14ac:dyDescent="0.3">
      <c r="A8" s="6"/>
      <c r="B8" s="6"/>
      <c r="C8" s="6"/>
      <c r="D8" s="6"/>
      <c r="E8" s="6"/>
      <c r="F8" s="6"/>
      <c r="G8" s="6"/>
      <c r="H8" s="6"/>
      <c r="I8" s="6"/>
      <c r="J8" s="6"/>
    </row>
    <row r="9" spans="1:10" x14ac:dyDescent="0.3">
      <c r="A9" s="8"/>
      <c r="B9" s="8"/>
      <c r="C9" s="8"/>
      <c r="D9" s="8"/>
      <c r="E9" s="8"/>
      <c r="F9" s="8"/>
      <c r="G9" s="8"/>
      <c r="H9" s="8"/>
      <c r="I9" s="8"/>
      <c r="J9" s="8"/>
    </row>
    <row r="10" spans="1:10" x14ac:dyDescent="0.3">
      <c r="A10" s="6"/>
      <c r="B10" s="6"/>
      <c r="C10" s="6"/>
      <c r="D10" s="6"/>
      <c r="E10" s="6"/>
      <c r="F10" s="6"/>
      <c r="G10" s="6"/>
      <c r="H10" s="6"/>
      <c r="I10" s="6"/>
      <c r="J10" s="6"/>
    </row>
    <row r="11" spans="1:10" x14ac:dyDescent="0.3">
      <c r="A11" s="8"/>
      <c r="B11" s="8"/>
      <c r="C11" s="8"/>
      <c r="D11" s="8"/>
      <c r="E11" s="8"/>
      <c r="F11" s="8"/>
      <c r="G11" s="8"/>
      <c r="H11" s="8"/>
      <c r="I11" s="8"/>
      <c r="J11" s="8"/>
    </row>
    <row r="12" spans="1:10" x14ac:dyDescent="0.3">
      <c r="A12" s="6"/>
      <c r="B12" s="6"/>
      <c r="C12" s="6"/>
      <c r="D12" s="6"/>
      <c r="E12" s="6"/>
      <c r="F12" s="6"/>
      <c r="G12" s="6"/>
      <c r="H12" s="6"/>
      <c r="I12" s="6"/>
      <c r="J12" s="6"/>
    </row>
    <row r="13" spans="1:10" x14ac:dyDescent="0.3">
      <c r="A13" s="8"/>
      <c r="B13" s="8"/>
      <c r="C13" s="8"/>
      <c r="D13" s="8"/>
      <c r="E13" s="8"/>
      <c r="F13" s="8"/>
      <c r="G13" s="8"/>
      <c r="H13" s="8"/>
      <c r="I13" s="8"/>
      <c r="J13" s="8"/>
    </row>
    <row r="14" spans="1:10" x14ac:dyDescent="0.3">
      <c r="A14" s="6"/>
      <c r="B14" s="6"/>
      <c r="C14" s="6"/>
      <c r="D14" s="6"/>
      <c r="E14" s="6"/>
      <c r="F14" s="6"/>
      <c r="G14" s="6"/>
      <c r="H14" s="6"/>
      <c r="I14" s="6"/>
      <c r="J14" s="6"/>
    </row>
    <row r="15" spans="1:10" x14ac:dyDescent="0.3">
      <c r="A15" s="8"/>
      <c r="B15" s="8"/>
      <c r="C15" s="8"/>
      <c r="D15" s="8"/>
      <c r="E15" s="8"/>
      <c r="F15" s="8"/>
      <c r="G15" s="8"/>
      <c r="H15" s="8"/>
      <c r="I15" s="8"/>
      <c r="J15" s="8"/>
    </row>
    <row r="16" spans="1:10" x14ac:dyDescent="0.3">
      <c r="A16" s="6"/>
      <c r="B16" s="6"/>
      <c r="C16" s="6"/>
      <c r="D16" s="6"/>
      <c r="E16" s="6"/>
      <c r="F16" s="6"/>
      <c r="G16" s="6"/>
      <c r="H16" s="6"/>
      <c r="I16" s="6"/>
      <c r="J16" s="6"/>
    </row>
    <row r="17" spans="1:10" x14ac:dyDescent="0.3">
      <c r="A17" s="8"/>
      <c r="B17" s="8"/>
      <c r="C17" s="8"/>
      <c r="D17" s="8"/>
      <c r="E17" s="8"/>
      <c r="F17" s="8"/>
      <c r="G17" s="8"/>
      <c r="H17" s="8"/>
      <c r="I17" s="8"/>
      <c r="J17" s="8"/>
    </row>
    <row r="18" spans="1:10" x14ac:dyDescent="0.3">
      <c r="A18" s="6"/>
      <c r="B18" s="6"/>
      <c r="C18" s="6"/>
      <c r="D18" s="6"/>
      <c r="E18" s="6"/>
      <c r="F18" s="6"/>
      <c r="G18" s="6"/>
      <c r="H18" s="6"/>
      <c r="I18" s="6"/>
      <c r="J18" s="6"/>
    </row>
    <row r="19" spans="1:10" x14ac:dyDescent="0.3">
      <c r="A19" s="8"/>
      <c r="B19" s="8"/>
      <c r="C19" s="8"/>
      <c r="D19" s="8"/>
      <c r="E19" s="8"/>
      <c r="F19" s="8"/>
      <c r="G19" s="8"/>
      <c r="H19" s="8"/>
      <c r="I19" s="8"/>
      <c r="J19" s="8"/>
    </row>
    <row r="20" spans="1:10" x14ac:dyDescent="0.3">
      <c r="A20" s="6"/>
      <c r="B20" s="6"/>
      <c r="C20" s="6"/>
      <c r="D20" s="6"/>
      <c r="E20" s="6"/>
      <c r="F20" s="6"/>
      <c r="G20" s="6"/>
      <c r="H20" s="6"/>
      <c r="I20" s="6"/>
      <c r="J20" s="6"/>
    </row>
    <row r="21" spans="1:10" x14ac:dyDescent="0.3">
      <c r="A21" s="8"/>
      <c r="B21" s="8"/>
      <c r="C21" s="8"/>
      <c r="D21" s="8"/>
      <c r="E21" s="8"/>
      <c r="F21" s="8"/>
      <c r="G21" s="8"/>
      <c r="H21" s="8"/>
      <c r="I21" s="8"/>
      <c r="J21" s="8"/>
    </row>
    <row r="22" spans="1:10" x14ac:dyDescent="0.3">
      <c r="A22" s="6"/>
      <c r="B22" s="6"/>
      <c r="C22" s="6"/>
      <c r="D22" s="6"/>
      <c r="E22" s="6"/>
      <c r="F22" s="6"/>
      <c r="G22" s="6"/>
      <c r="H22" s="6"/>
      <c r="I22" s="6"/>
      <c r="J22" s="6"/>
    </row>
    <row r="23" spans="1:10" x14ac:dyDescent="0.3">
      <c r="A23" s="8"/>
      <c r="B23" s="8"/>
      <c r="C23" s="8"/>
      <c r="D23" s="8"/>
      <c r="E23" s="8"/>
      <c r="F23" s="8"/>
      <c r="G23" s="8"/>
      <c r="H23" s="8"/>
      <c r="I23" s="8"/>
      <c r="J23" s="8"/>
    </row>
    <row r="24" spans="1:10" x14ac:dyDescent="0.3">
      <c r="A24" s="6"/>
      <c r="B24" s="6"/>
      <c r="C24" s="6"/>
      <c r="D24" s="6"/>
      <c r="E24" s="6"/>
      <c r="F24" s="6"/>
      <c r="G24" s="6"/>
      <c r="H24" s="6"/>
      <c r="I24" s="6"/>
      <c r="J24" s="6"/>
    </row>
    <row r="25" spans="1:10" x14ac:dyDescent="0.3">
      <c r="A25" s="8"/>
      <c r="B25" s="8"/>
      <c r="C25" s="8"/>
      <c r="D25" s="8"/>
      <c r="E25" s="8"/>
      <c r="F25" s="8"/>
      <c r="G25" s="8"/>
      <c r="H25" s="8"/>
      <c r="I25" s="8"/>
      <c r="J25" s="8"/>
    </row>
    <row r="26" spans="1:10" x14ac:dyDescent="0.3">
      <c r="A26" s="6"/>
      <c r="B26" s="6"/>
      <c r="C26" s="6"/>
      <c r="D26" s="6"/>
      <c r="E26" s="6"/>
      <c r="F26" s="6"/>
      <c r="G26" s="6"/>
      <c r="H26" s="6"/>
      <c r="I26" s="6"/>
      <c r="J26" s="6"/>
    </row>
    <row r="27" spans="1:10" x14ac:dyDescent="0.3">
      <c r="A27" s="8"/>
      <c r="B27" s="8"/>
      <c r="C27" s="8"/>
      <c r="D27" s="8"/>
      <c r="E27" s="8"/>
      <c r="F27" s="8"/>
      <c r="G27" s="8"/>
      <c r="H27" s="8"/>
      <c r="I27" s="8"/>
      <c r="J27" s="8"/>
    </row>
    <row r="28" spans="1:10" x14ac:dyDescent="0.3">
      <c r="A28" s="6"/>
      <c r="B28" s="6"/>
      <c r="C28" s="6"/>
      <c r="D28" s="6"/>
      <c r="E28" s="6"/>
      <c r="F28" s="6"/>
      <c r="G28" s="6"/>
      <c r="H28" s="6"/>
      <c r="I28" s="6"/>
      <c r="J28" s="6"/>
    </row>
    <row r="29" spans="1:10" x14ac:dyDescent="0.3">
      <c r="A29" s="8"/>
      <c r="B29" s="8"/>
      <c r="C29" s="8"/>
      <c r="D29" s="8"/>
      <c r="E29" s="8"/>
      <c r="F29" s="8"/>
      <c r="G29" s="8"/>
      <c r="H29" s="8"/>
      <c r="I29" s="8"/>
      <c r="J29" s="8"/>
    </row>
    <row r="30" spans="1:10" x14ac:dyDescent="0.3">
      <c r="A30" s="6"/>
      <c r="B30" s="6"/>
      <c r="C30" s="6"/>
      <c r="D30" s="6"/>
      <c r="E30" s="6"/>
      <c r="F30" s="6"/>
      <c r="G30" s="6"/>
      <c r="H30" s="6"/>
      <c r="I30" s="6"/>
      <c r="J30" s="6"/>
    </row>
    <row r="31" spans="1:10" x14ac:dyDescent="0.3">
      <c r="A31" s="8"/>
      <c r="B31" s="8"/>
      <c r="C31" s="8"/>
      <c r="D31" s="8"/>
      <c r="E31" s="8"/>
      <c r="F31" s="8"/>
      <c r="G31" s="8"/>
      <c r="H31" s="8"/>
      <c r="I31" s="8"/>
      <c r="J31" s="8"/>
    </row>
    <row r="32" spans="1:10" x14ac:dyDescent="0.3">
      <c r="A32" s="6"/>
      <c r="B32" s="6"/>
      <c r="C32" s="6"/>
      <c r="D32" s="6"/>
      <c r="E32" s="6"/>
      <c r="F32" s="6"/>
      <c r="G32" s="6"/>
      <c r="H32" s="6"/>
      <c r="I32" s="6"/>
      <c r="J32" s="6"/>
    </row>
    <row r="33" spans="1:10" x14ac:dyDescent="0.3">
      <c r="A33" s="8"/>
      <c r="B33" s="8"/>
      <c r="C33" s="8"/>
      <c r="D33" s="8"/>
      <c r="E33" s="8"/>
      <c r="F33" s="8"/>
      <c r="G33" s="8"/>
      <c r="H33" s="8"/>
      <c r="I33" s="8"/>
      <c r="J33" s="8"/>
    </row>
    <row r="34" spans="1:10" x14ac:dyDescent="0.3">
      <c r="A34" s="6"/>
      <c r="B34" s="6"/>
      <c r="C34" s="6"/>
      <c r="D34" s="6"/>
      <c r="E34" s="6"/>
      <c r="F34" s="6"/>
      <c r="G34" s="6"/>
      <c r="H34" s="6"/>
      <c r="I34" s="6"/>
      <c r="J34" s="6"/>
    </row>
    <row r="35" spans="1:10" x14ac:dyDescent="0.3">
      <c r="A35" s="8"/>
      <c r="B35" s="8"/>
      <c r="C35" s="8"/>
      <c r="D35" s="8"/>
      <c r="E35" s="8"/>
      <c r="F35" s="8"/>
      <c r="G35" s="8"/>
      <c r="H35" s="8"/>
      <c r="I35" s="8"/>
      <c r="J35" s="8"/>
    </row>
    <row r="36" spans="1:10" x14ac:dyDescent="0.3">
      <c r="A36" s="6"/>
      <c r="B36" s="6"/>
      <c r="C36" s="6"/>
      <c r="D36" s="6"/>
      <c r="E36" s="6"/>
      <c r="F36" s="6"/>
      <c r="G36" s="6"/>
      <c r="H36" s="6"/>
      <c r="I36" s="6"/>
      <c r="J36" s="6"/>
    </row>
    <row r="37" spans="1:10" x14ac:dyDescent="0.3">
      <c r="A37" s="8"/>
      <c r="B37" s="8"/>
      <c r="C37" s="8"/>
      <c r="D37" s="8"/>
      <c r="E37" s="8"/>
      <c r="F37" s="8"/>
      <c r="G37" s="8"/>
      <c r="H37" s="8"/>
      <c r="I37" s="8"/>
      <c r="J37" s="8"/>
    </row>
    <row r="38" spans="1:10" x14ac:dyDescent="0.3">
      <c r="A38" s="6"/>
      <c r="B38" s="6"/>
      <c r="C38" s="6"/>
      <c r="D38" s="6"/>
      <c r="E38" s="6"/>
      <c r="F38" s="6"/>
      <c r="G38" s="6"/>
      <c r="H38" s="6"/>
      <c r="I38" s="6"/>
      <c r="J38" s="6"/>
    </row>
    <row r="39" spans="1:10" x14ac:dyDescent="0.3">
      <c r="A39" s="8"/>
      <c r="B39" s="8"/>
      <c r="C39" s="8"/>
      <c r="D39" s="8"/>
      <c r="E39" s="8"/>
      <c r="F39" s="8"/>
      <c r="G39" s="8"/>
      <c r="H39" s="8"/>
      <c r="I39" s="8"/>
      <c r="J39" s="8"/>
    </row>
    <row r="40" spans="1:10" x14ac:dyDescent="0.3">
      <c r="A40" s="6"/>
      <c r="B40" s="6"/>
      <c r="C40" s="6"/>
      <c r="D40" s="6"/>
      <c r="E40" s="6"/>
      <c r="F40" s="6"/>
      <c r="G40" s="6"/>
      <c r="H40" s="6"/>
      <c r="I40" s="6"/>
      <c r="J40" s="6"/>
    </row>
    <row r="41" spans="1:10" x14ac:dyDescent="0.3">
      <c r="A41" s="8"/>
      <c r="B41" s="8"/>
      <c r="C41" s="8"/>
      <c r="D41" s="8"/>
      <c r="E41" s="8"/>
      <c r="F41" s="8"/>
      <c r="G41" s="8"/>
      <c r="H41" s="8"/>
      <c r="I41" s="8"/>
      <c r="J41" s="8"/>
    </row>
    <row r="42" spans="1:10" x14ac:dyDescent="0.3">
      <c r="A42" s="6"/>
      <c r="B42" s="6"/>
      <c r="C42" s="6"/>
      <c r="D42" s="6"/>
      <c r="E42" s="6"/>
      <c r="F42" s="6"/>
      <c r="G42" s="6"/>
      <c r="H42" s="6"/>
      <c r="I42" s="6"/>
      <c r="J42" s="6"/>
    </row>
    <row r="43" spans="1:10" x14ac:dyDescent="0.3">
      <c r="A43" s="8"/>
      <c r="B43" s="8"/>
      <c r="C43" s="8"/>
      <c r="D43" s="8"/>
      <c r="E43" s="8"/>
      <c r="F43" s="8"/>
      <c r="G43" s="8"/>
      <c r="H43" s="8"/>
      <c r="I43" s="8"/>
      <c r="J43" s="8"/>
    </row>
    <row r="44" spans="1:10" x14ac:dyDescent="0.3">
      <c r="A44" s="6"/>
      <c r="B44" s="6"/>
      <c r="C44" s="6"/>
      <c r="D44" s="6"/>
      <c r="E44" s="6"/>
      <c r="F44" s="6"/>
      <c r="G44" s="6"/>
      <c r="H44" s="6"/>
      <c r="I44" s="6"/>
      <c r="J44" s="6"/>
    </row>
    <row r="45" spans="1:10" x14ac:dyDescent="0.3">
      <c r="A45" s="8"/>
      <c r="B45" s="8"/>
      <c r="C45" s="8"/>
      <c r="D45" s="8"/>
      <c r="E45" s="8"/>
      <c r="F45" s="8"/>
      <c r="G45" s="8"/>
      <c r="H45" s="8"/>
      <c r="I45" s="8"/>
      <c r="J45" s="8"/>
    </row>
    <row r="46" spans="1:10" x14ac:dyDescent="0.3">
      <c r="A46" s="6"/>
      <c r="B46" s="6"/>
      <c r="C46" s="6"/>
      <c r="D46" s="6"/>
      <c r="E46" s="6"/>
      <c r="F46" s="6"/>
      <c r="G46" s="6"/>
      <c r="H46" s="6"/>
      <c r="I46" s="6"/>
      <c r="J46" s="6"/>
    </row>
    <row r="47" spans="1:10" x14ac:dyDescent="0.3">
      <c r="A47" s="8"/>
      <c r="B47" s="8"/>
      <c r="C47" s="8"/>
      <c r="D47" s="8"/>
      <c r="E47" s="8"/>
      <c r="F47" s="8"/>
      <c r="G47" s="8"/>
      <c r="H47" s="8"/>
      <c r="I47" s="8"/>
      <c r="J47" s="8"/>
    </row>
    <row r="48" spans="1:10" x14ac:dyDescent="0.3">
      <c r="A48" s="6"/>
      <c r="B48" s="6"/>
      <c r="C48" s="6"/>
      <c r="D48" s="6"/>
      <c r="E48" s="6"/>
      <c r="F48" s="6"/>
      <c r="G48" s="6"/>
      <c r="H48" s="6"/>
      <c r="I48" s="6"/>
      <c r="J48" s="6"/>
    </row>
    <row r="49" spans="1:10" x14ac:dyDescent="0.3">
      <c r="A49" s="8"/>
      <c r="B49" s="8"/>
      <c r="C49" s="8"/>
      <c r="D49" s="8"/>
      <c r="E49" s="8"/>
      <c r="F49" s="8"/>
      <c r="G49" s="8"/>
      <c r="H49" s="8"/>
      <c r="I49" s="8"/>
      <c r="J49" s="8"/>
    </row>
    <row r="50" spans="1:10" x14ac:dyDescent="0.3">
      <c r="A50" s="6"/>
      <c r="B50" s="6"/>
      <c r="C50" s="6"/>
      <c r="D50" s="6"/>
      <c r="E50" s="6"/>
      <c r="F50" s="6"/>
      <c r="G50" s="6"/>
      <c r="H50" s="6"/>
      <c r="I50" s="6"/>
      <c r="J50" s="6"/>
    </row>
    <row r="51" spans="1:10" x14ac:dyDescent="0.3">
      <c r="A51" s="8"/>
      <c r="B51" s="8"/>
      <c r="C51" s="8"/>
      <c r="D51" s="8"/>
      <c r="E51" s="8"/>
      <c r="F51" s="8"/>
      <c r="G51" s="8"/>
      <c r="H51" s="8"/>
      <c r="I51" s="8"/>
      <c r="J51" s="8"/>
    </row>
    <row r="52" spans="1:10" x14ac:dyDescent="0.3">
      <c r="A52" s="6"/>
      <c r="B52" s="6"/>
      <c r="C52" s="6"/>
      <c r="D52" s="6"/>
      <c r="E52" s="6"/>
      <c r="F52" s="6"/>
      <c r="G52" s="6"/>
      <c r="H52" s="6"/>
      <c r="I52" s="6"/>
      <c r="J52" s="6"/>
    </row>
    <row r="53" spans="1:10" x14ac:dyDescent="0.3">
      <c r="A53" s="8"/>
      <c r="B53" s="8"/>
      <c r="C53" s="8"/>
      <c r="D53" s="8"/>
      <c r="E53" s="8"/>
      <c r="F53" s="8"/>
      <c r="G53" s="8"/>
      <c r="H53" s="8"/>
      <c r="I53" s="8"/>
      <c r="J53" s="8"/>
    </row>
    <row r="54" spans="1:10" x14ac:dyDescent="0.3">
      <c r="A54" s="6"/>
      <c r="B54" s="6"/>
      <c r="C54" s="6"/>
      <c r="D54" s="6"/>
      <c r="E54" s="6"/>
      <c r="F54" s="6"/>
      <c r="G54" s="6"/>
      <c r="H54" s="6"/>
      <c r="I54" s="6"/>
      <c r="J54" s="6"/>
    </row>
    <row r="55" spans="1:10" x14ac:dyDescent="0.3">
      <c r="A55" s="8"/>
      <c r="B55" s="8"/>
      <c r="C55" s="8"/>
      <c r="D55" s="8"/>
      <c r="E55" s="8"/>
      <c r="F55" s="8"/>
      <c r="G55" s="8"/>
      <c r="H55" s="8"/>
      <c r="I55" s="8"/>
      <c r="J55" s="8"/>
    </row>
    <row r="56" spans="1:10" x14ac:dyDescent="0.3">
      <c r="A56" s="6"/>
      <c r="B56" s="6"/>
      <c r="C56" s="6"/>
      <c r="D56" s="6"/>
      <c r="E56" s="6"/>
      <c r="F56" s="6"/>
      <c r="G56" s="6"/>
      <c r="H56" s="6"/>
      <c r="I56" s="6"/>
      <c r="J56" s="6"/>
    </row>
    <row r="57" spans="1:10" x14ac:dyDescent="0.3">
      <c r="A57" s="8"/>
      <c r="B57" s="8"/>
      <c r="C57" s="8"/>
      <c r="D57" s="8"/>
      <c r="E57" s="8"/>
      <c r="F57" s="8"/>
      <c r="G57" s="8"/>
      <c r="H57" s="8"/>
      <c r="I57" s="8"/>
      <c r="J57" s="8"/>
    </row>
    <row r="58" spans="1:10" x14ac:dyDescent="0.3">
      <c r="A58" s="6"/>
      <c r="B58" s="6"/>
      <c r="C58" s="6"/>
      <c r="D58" s="6"/>
      <c r="E58" s="6"/>
      <c r="F58" s="6"/>
      <c r="G58" s="6"/>
      <c r="H58" s="6"/>
      <c r="I58" s="6"/>
      <c r="J58" s="6"/>
    </row>
    <row r="59" spans="1:10" x14ac:dyDescent="0.3">
      <c r="A59" s="8"/>
      <c r="B59" s="8"/>
      <c r="C59" s="8"/>
      <c r="D59" s="8"/>
      <c r="E59" s="8"/>
      <c r="F59" s="8"/>
      <c r="G59" s="8"/>
      <c r="H59" s="8"/>
      <c r="I59" s="8"/>
      <c r="J59" s="8"/>
    </row>
    <row r="60" spans="1:10" x14ac:dyDescent="0.3">
      <c r="A60" s="6"/>
      <c r="B60" s="6"/>
      <c r="C60" s="6"/>
      <c r="D60" s="6"/>
      <c r="E60" s="6"/>
      <c r="F60" s="6"/>
      <c r="G60" s="6"/>
      <c r="H60" s="6"/>
      <c r="I60" s="6"/>
      <c r="J60" s="6"/>
    </row>
    <row r="61" spans="1:10" x14ac:dyDescent="0.3">
      <c r="A61" s="8"/>
      <c r="B61" s="8"/>
      <c r="C61" s="8"/>
      <c r="D61" s="8"/>
      <c r="E61" s="8"/>
      <c r="F61" s="8"/>
      <c r="G61" s="8"/>
      <c r="H61" s="8"/>
      <c r="I61" s="8"/>
      <c r="J61" s="8"/>
    </row>
  </sheetData>
  <autoFilter ref="A1:J61" xr:uid="{00000000-0009-0000-0000-000003000000}"/>
  <dataValidations count="1">
    <dataValidation type="list" allowBlank="1" sqref="J2:J61" xr:uid="{00000000-0002-0000-0300-000000000000}">
      <formula1>"1,2,3,4,5"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6" customWidth="1"/>
    <col min="2" max="2" width="24" customWidth="1"/>
    <col min="3" max="4" width="60" customWidth="1"/>
    <col min="5" max="5" width="16" customWidth="1"/>
    <col min="6" max="6" width="30" customWidth="1"/>
  </cols>
  <sheetData>
    <row r="1" spans="1:6" ht="31.95" customHeight="1" x14ac:dyDescent="0.3">
      <c r="A1" s="10" t="s">
        <v>39</v>
      </c>
      <c r="B1" s="10" t="s">
        <v>356</v>
      </c>
      <c r="C1" s="10" t="s">
        <v>487</v>
      </c>
      <c r="D1" s="10" t="s">
        <v>488</v>
      </c>
      <c r="E1" s="10" t="s">
        <v>42</v>
      </c>
      <c r="F1" s="10" t="s">
        <v>489</v>
      </c>
    </row>
    <row r="2" spans="1:6" ht="28.8" x14ac:dyDescent="0.3">
      <c r="A2" s="6" t="s">
        <v>490</v>
      </c>
      <c r="B2" s="6" t="s">
        <v>491</v>
      </c>
      <c r="C2" s="6" t="s">
        <v>492</v>
      </c>
      <c r="D2" s="6" t="s">
        <v>493</v>
      </c>
      <c r="E2" s="6" t="s">
        <v>494</v>
      </c>
      <c r="F2" s="6"/>
    </row>
    <row r="3" spans="1:6" ht="28.8" x14ac:dyDescent="0.3">
      <c r="A3" s="8" t="s">
        <v>490</v>
      </c>
      <c r="B3" s="8" t="s">
        <v>495</v>
      </c>
      <c r="C3" s="8" t="s">
        <v>496</v>
      </c>
      <c r="D3" s="8" t="s">
        <v>497</v>
      </c>
      <c r="E3" s="8" t="s">
        <v>494</v>
      </c>
      <c r="F3" s="8"/>
    </row>
    <row r="4" spans="1:6" x14ac:dyDescent="0.3">
      <c r="A4" s="6" t="s">
        <v>490</v>
      </c>
      <c r="B4" s="6" t="s">
        <v>498</v>
      </c>
      <c r="C4" s="6" t="s">
        <v>499</v>
      </c>
      <c r="D4" s="6" t="s">
        <v>500</v>
      </c>
      <c r="E4" s="6" t="s">
        <v>494</v>
      </c>
      <c r="F4" s="6"/>
    </row>
    <row r="5" spans="1:6" ht="28.8" x14ac:dyDescent="0.3">
      <c r="A5" s="8" t="s">
        <v>490</v>
      </c>
      <c r="B5" s="8" t="s">
        <v>501</v>
      </c>
      <c r="C5" s="8" t="s">
        <v>502</v>
      </c>
      <c r="D5" s="8" t="s">
        <v>503</v>
      </c>
      <c r="E5" s="8" t="s">
        <v>494</v>
      </c>
      <c r="F5" s="8"/>
    </row>
    <row r="6" spans="1:6" ht="28.8" x14ac:dyDescent="0.3">
      <c r="A6" s="6" t="s">
        <v>504</v>
      </c>
      <c r="B6" s="6" t="s">
        <v>505</v>
      </c>
      <c r="C6" s="6" t="s">
        <v>506</v>
      </c>
      <c r="D6" s="6" t="s">
        <v>507</v>
      </c>
      <c r="E6" s="6" t="s">
        <v>508</v>
      </c>
      <c r="F6" s="6"/>
    </row>
    <row r="7" spans="1:6" x14ac:dyDescent="0.3">
      <c r="A7" s="8" t="s">
        <v>504</v>
      </c>
      <c r="B7" s="8" t="s">
        <v>509</v>
      </c>
      <c r="C7" s="8" t="s">
        <v>510</v>
      </c>
      <c r="D7" s="8" t="s">
        <v>511</v>
      </c>
      <c r="E7" s="8" t="s">
        <v>508</v>
      </c>
      <c r="F7" s="8"/>
    </row>
    <row r="8" spans="1:6" x14ac:dyDescent="0.3">
      <c r="A8" s="6" t="s">
        <v>504</v>
      </c>
      <c r="B8" s="6" t="s">
        <v>512</v>
      </c>
      <c r="C8" s="6" t="s">
        <v>513</v>
      </c>
      <c r="D8" s="6" t="s">
        <v>514</v>
      </c>
      <c r="E8" s="6" t="s">
        <v>508</v>
      </c>
      <c r="F8" s="6"/>
    </row>
    <row r="9" spans="1:6" ht="28.8" x14ac:dyDescent="0.3">
      <c r="A9" s="8" t="s">
        <v>504</v>
      </c>
      <c r="B9" s="8" t="s">
        <v>515</v>
      </c>
      <c r="C9" s="8" t="s">
        <v>516</v>
      </c>
      <c r="D9" s="8" t="s">
        <v>517</v>
      </c>
      <c r="E9" s="8" t="s">
        <v>508</v>
      </c>
      <c r="F9" s="8"/>
    </row>
    <row r="10" spans="1:6" ht="28.8" x14ac:dyDescent="0.3">
      <c r="A10" s="6" t="s">
        <v>504</v>
      </c>
      <c r="B10" s="6" t="s">
        <v>518</v>
      </c>
      <c r="C10" s="6" t="s">
        <v>519</v>
      </c>
      <c r="D10" s="6" t="s">
        <v>520</v>
      </c>
      <c r="E10" s="6" t="s">
        <v>508</v>
      </c>
      <c r="F10" s="6"/>
    </row>
  </sheetData>
  <autoFilter ref="A1:F10" xr:uid="{00000000-0009-0000-0000-000004000000}"/>
  <dataValidations count="2">
    <dataValidation type="list" allowBlank="1" sqref="A2:A10" xr:uid="{00000000-0002-0000-0400-000000000000}">
      <formula1>"Decision,Risk,Question"</formula1>
    </dataValidation>
    <dataValidation type="list" allowBlank="1" sqref="E2:E10" xr:uid="{00000000-0002-0000-0400-000001000000}">
      <formula1>"Open,In Progress,Resolved,Agreed"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3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8" customWidth="1"/>
    <col min="2" max="2" width="115" customWidth="1"/>
  </cols>
  <sheetData>
    <row r="1" spans="1:2" ht="31.95" customHeight="1" x14ac:dyDescent="0.3">
      <c r="A1" s="10" t="s">
        <v>521</v>
      </c>
      <c r="B1" s="10" t="s">
        <v>522</v>
      </c>
    </row>
    <row r="2" spans="1:2" x14ac:dyDescent="0.3">
      <c r="A2" s="6" t="s">
        <v>523</v>
      </c>
      <c r="B2" s="6" t="s">
        <v>524</v>
      </c>
    </row>
    <row r="3" spans="1:2" x14ac:dyDescent="0.3">
      <c r="A3" s="8" t="s">
        <v>525</v>
      </c>
      <c r="B3" s="8" t="s">
        <v>526</v>
      </c>
    </row>
    <row r="4" spans="1:2" ht="28.8" x14ac:dyDescent="0.3">
      <c r="A4" s="6" t="s">
        <v>527</v>
      </c>
      <c r="B4" s="6" t="s">
        <v>528</v>
      </c>
    </row>
    <row r="5" spans="1:2" x14ac:dyDescent="0.3">
      <c r="A5" s="8" t="s">
        <v>529</v>
      </c>
      <c r="B5" s="8" t="s">
        <v>530</v>
      </c>
    </row>
    <row r="6" spans="1:2" x14ac:dyDescent="0.3">
      <c r="A6" s="6" t="s">
        <v>531</v>
      </c>
      <c r="B6" s="6" t="s">
        <v>532</v>
      </c>
    </row>
    <row r="7" spans="1:2" x14ac:dyDescent="0.3">
      <c r="A7" s="8" t="s">
        <v>533</v>
      </c>
      <c r="B7" s="8" t="s">
        <v>534</v>
      </c>
    </row>
    <row r="8" spans="1:2" x14ac:dyDescent="0.3">
      <c r="A8" s="6" t="s">
        <v>535</v>
      </c>
      <c r="B8" s="6" t="s">
        <v>536</v>
      </c>
    </row>
    <row r="9" spans="1:2" x14ac:dyDescent="0.3">
      <c r="A9" s="8" t="s">
        <v>537</v>
      </c>
      <c r="B9" s="8" t="s">
        <v>538</v>
      </c>
    </row>
    <row r="10" spans="1:2" x14ac:dyDescent="0.3">
      <c r="A10" s="6" t="s">
        <v>539</v>
      </c>
      <c r="B10" s="6" t="s">
        <v>540</v>
      </c>
    </row>
    <row r="11" spans="1:2" x14ac:dyDescent="0.3">
      <c r="A11" s="8" t="s">
        <v>541</v>
      </c>
      <c r="B11" s="8" t="s">
        <v>542</v>
      </c>
    </row>
    <row r="12" spans="1:2" x14ac:dyDescent="0.3">
      <c r="A12" s="6" t="s">
        <v>543</v>
      </c>
      <c r="B12" s="6" t="s">
        <v>544</v>
      </c>
    </row>
    <row r="13" spans="1:2" ht="28.8" x14ac:dyDescent="0.3">
      <c r="A13" s="8" t="s">
        <v>545</v>
      </c>
      <c r="B13" s="8" t="s">
        <v>546</v>
      </c>
    </row>
  </sheetData>
  <autoFilter ref="A1:B13" xr:uid="{00000000-0009-0000-0000-000005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Project Tracker</vt:lpstr>
      <vt:lpstr>Learning Curriculum</vt:lpstr>
      <vt:lpstr>Daily Log</vt:lpstr>
      <vt:lpstr>Decisions &amp; Risks</vt:lpstr>
      <vt:lpstr>How to Use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WattWise Detailed Learning and Project Tracker</dc:title>
  <dc:subject>Project tasks, learning curriculum, daily log, dashboard, decisions and risks</dc:subject>
  <dc:creator>OpenAI</dc:creator>
  <cp:lastModifiedBy>Hardik Chadha</cp:lastModifiedBy>
  <dcterms:created xsi:type="dcterms:W3CDTF">2026-10-09T10:28:21Z</dcterms:created>
  <dcterms:modified xsi:type="dcterms:W3CDTF">2026-10-11T14:28:47Z</dcterms:modified>
</cp:coreProperties>
</file>